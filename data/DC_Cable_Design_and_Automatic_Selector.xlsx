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fdaa2bee5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akers_IEC" sheetId="1" r:id="R004025c0ea9e4e5e"/>
    <x:sheet xmlns:r="http://schemas.openxmlformats.org/officeDocument/2006/relationships" name="Copper_LSZH_Cables" sheetId="2" r:id="Rb6f28bd80b1b4e47"/>
    <x:sheet xmlns:r="http://schemas.openxmlformats.org/officeDocument/2006/relationships" name="Temperature_Factors" sheetId="3" r:id="R2fcaf67c2ab844d0"/>
    <x:sheet xmlns:r="http://schemas.openxmlformats.org/officeDocument/2006/relationships" name="Grouping_Factors" sheetId="4" r:id="R68464a464660447b"/>
    <x:sheet xmlns:r="http://schemas.openxmlformats.org/officeDocument/2006/relationships" name="Installation_Methods" sheetId="5" r:id="R1a188ba22e224771"/>
    <x:sheet xmlns:r="http://schemas.openxmlformats.org/officeDocument/2006/relationships" name="VoltageDrop_Reference" sheetId="6" r:id="Rf2d98d76ae4d4a6b"/>
    <x:sheet xmlns:r="http://schemas.openxmlformats.org/officeDocument/2006/relationships" name="READ ME" sheetId="7" r:id="Rc9f6339c268a4d44"/>
    <x:sheet xmlns:r="http://schemas.openxmlformats.org/officeDocument/2006/relationships" name="Cable Selector" sheetId="8" r:id="Reb8976f90a0b4257"/>
    <x:sheet xmlns:r="http://schemas.openxmlformats.org/officeDocument/2006/relationships" name="Candidate Check" sheetId="9" r:id="R9ed886ff3cb64235"/>
    <x:sheet xmlns:r="http://schemas.openxmlformats.org/officeDocument/2006/relationships" name="3V Reference Table" sheetId="10" r:id="R29ccace535f34d8f"/>
    <x:sheet xmlns:r="http://schemas.openxmlformats.org/officeDocument/2006/relationships" name="Workbook Audit" sheetId="11" r:id="Rd83298d9d7e14dbd"/>
  </x:sheets>
</x:workbook>
</file>

<file path=xl/comments1.xml><?xml version="1.0" encoding="utf-8"?>
<x:comments xmlns:x="http://schemas.openxmlformats.org/spreadsheetml/2006/main">
  <x:authors>
    <x:author>tc={4C751C13-3009-3DE5-78D0-AC5FC7CC1F88}</x:author>
    <x:author>tc={7ABC6AAB-E790-EFD5-BE59-70B9EFE8EFC4}</x:author>
    <x:author>tc={920BB00C-1023-E338-1BEE-E14A9353D853}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Default requested target is 3.0 volts. Change only if the approved design criterion changes.</x:t>
        </x:r>
      </x:text>
    </x:comment>
    <x:comment ref="B1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is conductor operating temperature for resistance correction, not ambient temperature.</x:t>
        </x:r>
      </x:text>
    </x:comment>
    <x:comment ref="B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Confirm actual loaded-circuit grouping and physical spacing. The source photograph alone is insufficient to determine the correct factor.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000"/>
    <x:numFmt numFmtId="203" formatCode="0.00"/>
  </x:numFmts>
  <x:fonts count="7"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rgb="FF7F6000"/>
      <x:name val="Calibri"/>
    </x:font>
    <x:font>
      <x:b/>
      <x:sz val="11"/>
      <x:color theme="1"/>
      <x:name val="Calibri"/>
    </x:font>
    <x:font>
      <x:b/>
      <x:sz val="11"/>
      <x:color rgb="FF17365D"/>
      <x:name val="Calibri"/>
    </x:font>
    <x:font>
      <x:b/>
      <x:sz val="11"/>
      <x:color rgb="FF1F2937"/>
      <x:name val="Calibri"/>
    </x:font>
    <x:font>
      <x:sz val="11"/>
      <x:color rgb="FF1F293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7">
    <x:border/>
    <x:border>
      <x:left style="medium">
        <x:color rgb="FFBF9000"/>
      </x:left>
      <x:top style="medium">
        <x:color rgb="FFBF9000"/>
      </x:top>
      <x:bottom style="medium">
        <x:color rgb="FFBF9000"/>
      </x:bottom>
    </x:border>
    <x:border>
      <x:top style="medium">
        <x:color rgb="FFBF9000"/>
      </x:top>
      <x:bottom style="medium">
        <x:color rgb="FFBF9000"/>
      </x:bottom>
    </x:border>
    <x:border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bottom style="thin">
        <x:color rgb="FFD4DEE7"/>
      </x:bottom>
    </x:border>
    <x:border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  <x:bottom style="thin">
        <x:color rgb="FFD4DEE7"/>
      </x:bottom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  <x:top style="thin">
        <x:color rgb="FFD4DEE7"/>
      </x:top>
    </x:border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bottom style="thin">
        <x:color rgb="FFC8D2DC"/>
      </x:bottom>
    </x:border>
    <x:border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C8D2DC"/>
      </x:left>
      <x:top style="thin">
        <x:color rgb="FFC8D2DC"/>
      </x:top>
      <x:bottom style="thin">
        <x:color rgb="FFC8D2DC"/>
      </x:bottom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  <x:top style="thin">
        <x:color rgb="FFC8D2DC"/>
      </x:top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</x:border>
    <x:border>
      <x:right style="thin">
        <x:color rgb="FFBF9000"/>
      </x:right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</x:borders>
  <x:cellStyleXfs count="1">
    <x:xf numFmtId="0" fontId="0" fillId="0" borderId="0"/>
  </x:cellStyleXfs>
  <x:cellXfs count="2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7" xfId="0" applyNumberFormat="1" applyFont="1" applyFill="1" applyBorder="1"/>
    <x:xf numFmtId="0" fontId="0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4" borderId="10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/>
    <x:xf numFmtId="0" fontId="0" fillId="3" borderId="12" xfId="0" applyNumberFormat="1" applyFont="1" applyFill="1" applyBorder="1"/>
    <x:xf numFmtId="0" fontId="0" fillId="4" borderId="13" xfId="0" applyNumberFormat="1" applyFont="1" applyFill="1" applyBorder="1"/>
    <x:xf numFmtId="0" fontId="0" fillId="3" borderId="14" xfId="0" applyNumberFormat="1" applyFont="1" applyFill="1" applyBorder="1"/>
    <x:xf numFmtId="0" fontId="0" fillId="4" borderId="15" xfId="0" applyNumberFormat="1" applyFont="1" applyFill="1" applyBorder="1"/>
    <x:xf numFmtId="0" fontId="0" fillId="3" borderId="16" xfId="0" applyNumberFormat="1" applyFont="1" applyFill="1" applyBorder="1"/>
    <x:xf numFmtId="200" fontId="0" fillId="3" borderId="12" xfId="0" applyNumberFormat="1" applyFont="1" applyFill="1" applyBorder="1"/>
    <x:xf numFmtId="200" fontId="0" fillId="3" borderId="14" xfId="0" applyNumberFormat="1" applyFont="1" applyFill="1" applyBorder="1"/>
    <x:xf numFmtId="201" fontId="0" fillId="3" borderId="14" xfId="0" applyNumberFormat="1" applyFont="1" applyFill="1" applyBorder="1"/>
    <x:xf numFmtId="202" fontId="0" fillId="3" borderId="16" xfId="0" applyNumberFormat="1" applyFont="1" applyFill="1" applyBorder="1"/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4" fillId="5" borderId="12" xfId="0" applyNumberFormat="1" applyFont="1" applyFill="1" applyBorder="1"/>
    <x:xf numFmtId="203" fontId="0" fillId="5" borderId="14" xfId="0" applyNumberFormat="1" applyFont="1" applyFill="1" applyBorder="1"/>
    <x:xf numFmtId="0" fontId="3" fillId="5" borderId="1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20" xfId="0" applyNumberFormat="1" applyFont="1" applyFill="1" applyBorder="1" applyAlignment="1">
      <x:alignment wrapText="1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3" borderId="23" xfId="0" applyNumberFormat="1" applyFont="1" applyFill="1" applyBorder="1" applyAlignment="1">
      <x:alignment wrapText="1"/>
    </x:xf>
    <x:xf numFmtId="0" fontId="0" fillId="3" borderId="24" xfId="0" applyNumberFormat="1" applyFont="1" applyFill="1" applyBorder="1" applyAlignment="1">
      <x:alignment wrapText="1"/>
    </x:xf>
    <x:xf numFmtId="0" fontId="0" fillId="3" borderId="25" xfId="0" applyNumberFormat="1" applyFont="1" applyFill="1" applyBorder="1" applyAlignment="1">
      <x:alignment wrapText="1"/>
    </x:xf>
    <x:xf numFmtId="0" fontId="0" fillId="3" borderId="26" xfId="0" applyNumberFormat="1" applyFont="1" applyFill="1" applyBorder="1" applyAlignment="1">
      <x:alignment wrapText="1"/>
    </x:xf>
    <x:xf numFmtId="0" fontId="0" fillId="3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203" fontId="0" fillId="0" borderId="28" xfId="0" applyNumberFormat="1" applyFont="1" applyFill="1" applyBorder="1"/>
    <x:xf numFmtId="203" fontId="0" fillId="0" borderId="29" xfId="0" applyNumberFormat="1" applyFont="1" applyFill="1" applyBorder="1"/>
    <x:xf numFmtId="203" fontId="0" fillId="0" borderId="30" xfId="0" applyNumberFormat="1" applyFont="1" applyFill="1" applyBorder="1"/>
    <x:xf numFmtId="203" fontId="0" fillId="0" borderId="31" xfId="0" applyNumberFormat="1" applyFont="1" applyFill="1" applyBorder="1"/>
    <x:xf numFmtId="203" fontId="0" fillId="0" borderId="32" xfId="0" applyNumberFormat="1" applyFont="1" applyFill="1" applyBorder="1"/>
    <x:xf numFmtId="203" fontId="0" fillId="0" borderId="33" xfId="0" applyNumberFormat="1" applyFont="1" applyFill="1" applyBorder="1"/>
    <x:xf numFmtId="203" fontId="0" fillId="0" borderId="34" xfId="0" applyNumberFormat="1" applyFont="1" applyFill="1" applyBorder="1"/>
    <x:xf numFmtId="203" fontId="0" fillId="0" borderId="35" xfId="0" applyNumberFormat="1" applyFont="1" applyFill="1" applyBorder="1"/>
    <x:xf numFmtId="203" fontId="0" fillId="0" borderId="36" xfId="0" applyNumberFormat="1" applyFont="1" applyFill="1" applyBorder="1"/>
    <x:xf numFmtId="200" fontId="0" fillId="0" borderId="28" xfId="0" applyNumberFormat="1" applyFont="1" applyFill="1" applyBorder="1"/>
    <x:xf numFmtId="200" fontId="0" fillId="0" borderId="31" xfId="0" applyNumberFormat="1" applyFont="1" applyFill="1" applyBorder="1"/>
    <x:xf numFmtId="200" fontId="0" fillId="0" borderId="34" xfId="0" applyNumberFormat="1" applyFont="1" applyFill="1" applyBorder="1"/>
    <x:xf numFmtId="203" fontId="0" fillId="0" borderId="29" xfId="0" applyNumberFormat="1" applyFont="1" applyFill="1" applyBorder="1" applyAlignment="1">
      <x:alignment horizontal="center"/>
    </x:xf>
    <x:xf numFmtId="203" fontId="0" fillId="0" borderId="32" xfId="0" applyNumberFormat="1" applyFont="1" applyFill="1" applyBorder="1" applyAlignment="1">
      <x:alignment horizontal="center"/>
    </x:xf>
    <x:xf numFmtId="203" fontId="0" fillId="0" borderId="35" xfId="0" applyNumberFormat="1" applyFont="1" applyFill="1" applyBorder="1" applyAlignment="1">
      <x:alignment horizontal="center"/>
    </x:xf>
    <x:xf numFmtId="201" fontId="0" fillId="0" borderId="28" xfId="0" applyNumberFormat="1" applyFont="1" applyFill="1" applyBorder="1"/>
    <x:xf numFmtId="201" fontId="0" fillId="0" borderId="29" xfId="0" applyNumberFormat="1" applyFont="1" applyFill="1" applyBorder="1"/>
    <x:xf numFmtId="201" fontId="0" fillId="0" borderId="31" xfId="0" applyNumberFormat="1" applyFont="1" applyFill="1" applyBorder="1"/>
    <x:xf numFmtId="201" fontId="0" fillId="0" borderId="32" xfId="0" applyNumberFormat="1" applyFont="1" applyFill="1" applyBorder="1"/>
    <x:xf numFmtId="201" fontId="0" fillId="0" borderId="34" xfId="0" applyNumberFormat="1" applyFont="1" applyFill="1" applyBorder="1"/>
    <x:xf numFmtId="201" fontId="0" fillId="0" borderId="35" xfId="0" applyNumberFormat="1" applyFont="1" applyFill="1" applyBorder="1"/>
    <x:xf numFmtId="201" fontId="0" fillId="0" borderId="30" xfId="0" applyNumberFormat="1" applyFont="1" applyFill="1" applyBorder="1"/>
    <x:xf numFmtId="201" fontId="0" fillId="0" borderId="33" xfId="0" applyNumberFormat="1" applyFont="1" applyFill="1" applyBorder="1"/>
    <x:xf numFmtId="201" fontId="0" fillId="0" borderId="36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3" fillId="0" borderId="28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wrapText="1"/>
    </x:xf>
    <x:xf numFmtId="0" fontId="3" fillId="0" borderId="34" xfId="0" applyNumberFormat="1" applyFont="1" applyFill="1" applyBorder="1" applyAlignment="1">
      <x:alignment wrapText="1"/>
    </x:xf>
    <x:xf numFmtId="0" fontId="3" fillId="4" borderId="28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30" xfId="0" applyNumberFormat="1" applyFont="1" applyFill="1" applyBorder="1" applyAlignment="1">
      <x:alignment wrapText="1"/>
    </x:xf>
    <x:xf numFmtId="0" fontId="3" fillId="4" borderId="31" xfId="0" applyNumberFormat="1" applyFont="1" applyFill="1" applyBorder="1" applyAlignment="1">
      <x:alignment wrapText="1"/>
    </x:xf>
    <x:xf numFmtId="0" fontId="0" fillId="4" borderId="32" xfId="0" applyNumberFormat="1" applyFont="1" applyFill="1" applyBorder="1" applyAlignment="1">
      <x:alignment wrapText="1"/>
    </x:xf>
    <x:xf numFmtId="0" fontId="0" fillId="4" borderId="33" xfId="0" applyNumberFormat="1" applyFont="1" applyFill="1" applyBorder="1" applyAlignment="1">
      <x:alignment wrapText="1"/>
    </x:xf>
    <x:xf numFmtId="0" fontId="3" fillId="4" borderId="34" xfId="0" applyNumberFormat="1" applyFont="1" applyFill="1" applyBorder="1" applyAlignment="1">
      <x:alignment wrapText="1"/>
    </x:xf>
    <x:xf numFmtId="0" fontId="0" fillId="4" borderId="35" xfId="0" applyNumberFormat="1" applyFont="1" applyFill="1" applyBorder="1" applyAlignment="1">
      <x:alignment wrapText="1"/>
    </x:xf>
    <x:xf numFmtId="0" fontId="0" fillId="4" borderId="36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vertical="top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4" borderId="11" xfId="0" applyNumberFormat="1" applyFont="1" applyFill="1" applyBorder="1"/>
    <x:xf numFmtId="200" fontId="6" fillId="3" borderId="12" xfId="0" applyNumberFormat="1" applyFont="1" applyFill="1" applyBorder="1"/>
    <x:xf numFmtId="0" fontId="5" fillId="5" borderId="12" xfId="0" applyNumberFormat="1" applyFont="1" applyFill="1" applyBorder="1"/>
    <x:xf numFmtId="0" fontId="6" fillId="4" borderId="13" xfId="0" applyNumberFormat="1" applyFont="1" applyFill="1" applyBorder="1"/>
    <x:xf numFmtId="200" fontId="6" fillId="3" borderId="14" xfId="0" applyNumberFormat="1" applyFont="1" applyFill="1" applyBorder="1"/>
    <x:xf numFmtId="203" fontId="6" fillId="5" borderId="14" xfId="0" applyNumberFormat="1" applyFont="1" applyFill="1" applyBorder="1"/>
    <x:xf numFmtId="0" fontId="6" fillId="5" borderId="14" xfId="0" applyNumberFormat="1" applyFont="1" applyFill="1" applyBorder="1"/>
    <x:xf numFmtId="0" fontId="6" fillId="3" borderId="14" xfId="0" applyNumberFormat="1" applyFont="1" applyFill="1" applyBorder="1"/>
    <x:xf numFmtId="201" fontId="6" fillId="3" borderId="14" xfId="0" applyNumberFormat="1" applyFont="1" applyFill="1" applyBorder="1"/>
    <x:xf numFmtId="0" fontId="6" fillId="4" borderId="15" xfId="0" applyNumberFormat="1" applyFont="1" applyFill="1" applyBorder="1"/>
    <x:xf numFmtId="0" fontId="5" fillId="5" borderId="16" xfId="0" applyNumberFormat="1" applyFont="1" applyFill="1" applyBorder="1"/>
    <x:xf numFmtId="202" fontId="6" fillId="3" borderId="16" xfId="0" applyNumberFormat="1" applyFont="1" applyFill="1" applyBorder="1"/>
    <x:xf numFmtId="0" fontId="6" fillId="3" borderId="20" xfId="0" applyNumberFormat="1" applyFont="1" applyFill="1" applyBorder="1" applyAlignment="1">
      <x:alignment wrapText="1"/>
    </x:xf>
    <x:xf numFmtId="0" fontId="6" fillId="3" borderId="21" xfId="0" applyNumberFormat="1" applyFont="1" applyFill="1" applyBorder="1" applyAlignment="1">
      <x:alignment wrapText="1"/>
    </x:xf>
    <x:xf numFmtId="0" fontId="6" fillId="3" borderId="22" xfId="0" applyNumberFormat="1" applyFont="1" applyFill="1" applyBorder="1" applyAlignment="1">
      <x:alignment wrapText="1"/>
    </x:xf>
    <x:xf numFmtId="0" fontId="6" fillId="3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24" xfId="0" applyNumberFormat="1" applyFont="1" applyFill="1" applyBorder="1" applyAlignment="1">
      <x:alignment wrapText="1"/>
    </x:xf>
    <x:xf numFmtId="0" fontId="6" fillId="3" borderId="25" xfId="0" applyNumberFormat="1" applyFont="1" applyFill="1" applyBorder="1" applyAlignment="1">
      <x:alignment wrapText="1"/>
    </x:xf>
    <x:xf numFmtId="0" fontId="6" fillId="3" borderId="26" xfId="0" applyNumberFormat="1" applyFont="1" applyFill="1" applyBorder="1" applyAlignment="1">
      <x:alignment wrapText="1"/>
    </x:xf>
    <x:xf numFmtId="0" fontId="6" fillId="3" borderId="27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vertical="center"/>
    </x:xf>
    <x:xf numFmtId="200" fontId="6" fillId="3" borderId="12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6" fillId="4" borderId="13" xfId="0" applyNumberFormat="1" applyFont="1" applyFill="1" applyBorder="1" applyAlignment="1">
      <x:alignment vertical="center"/>
    </x:xf>
    <x:xf numFmtId="200" fontId="6" fillId="3" borderId="14" xfId="0" applyNumberFormat="1" applyFont="1" applyFill="1" applyBorder="1" applyAlignment="1">
      <x:alignment vertical="center"/>
    </x:xf>
    <x:xf numFmtId="203" fontId="6" fillId="5" borderId="14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/>
    </x:xf>
    <x:xf numFmtId="0" fontId="6" fillId="3" borderId="14" xfId="0" applyNumberFormat="1" applyFont="1" applyFill="1" applyBorder="1" applyAlignment="1">
      <x:alignment vertical="center"/>
    </x:xf>
    <x:xf numFmtId="201" fontId="6" fillId="3" borderId="14" xfId="0" applyNumberFormat="1" applyFont="1" applyFill="1" applyBorder="1" applyAlignment="1">
      <x:alignment vertical="center"/>
    </x:xf>
    <x:xf numFmtId="0" fontId="6" fillId="4" borderId="15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202" fontId="6" fillId="3" borderId="16" xfId="0" applyNumberFormat="1" applyFont="1" applyFill="1" applyBorder="1" applyAlignment="1">
      <x:alignment vertical="center"/>
    </x:xf>
    <x:xf numFmtId="0" fontId="5" fillId="6" borderId="17" xfId="0" applyNumberFormat="1" applyFont="1" applyFill="1" applyBorder="1" applyAlignment="1">
      <x:alignment vertical="center"/>
    </x:xf>
    <x:xf numFmtId="0" fontId="5" fillId="6" borderId="18" xfId="0" applyNumberFormat="1" applyFont="1" applyFill="1" applyBorder="1" applyAlignment="1">
      <x:alignment vertical="center"/>
    </x:xf>
    <x:xf numFmtId="0" fontId="5" fillId="6" borderId="19" xfId="0" applyNumberFormat="1" applyFont="1" applyFill="1" applyBorder="1" applyAlignment="1">
      <x:alignment vertical="center"/>
    </x:xf>
    <x:xf numFmtId="0" fontId="6" fillId="3" borderId="20" xfId="0" applyNumberFormat="1" applyFont="1" applyFill="1" applyBorder="1" applyAlignment="1">
      <x:alignment vertical="center" wrapText="1"/>
    </x:xf>
    <x:xf numFmtId="0" fontId="6" fillId="3" borderId="21" xfId="0" applyNumberFormat="1" applyFont="1" applyFill="1" applyBorder="1" applyAlignment="1">
      <x:alignment vertical="center" wrapText="1"/>
    </x:xf>
    <x:xf numFmtId="0" fontId="6" fillId="3" borderId="22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24" xfId="0" applyNumberFormat="1" applyFont="1" applyFill="1" applyBorder="1" applyAlignment="1">
      <x:alignment vertical="center" wrapText="1"/>
    </x:xf>
    <x:xf numFmtId="0" fontId="6" fillId="3" borderId="25" xfId="0" applyNumberFormat="1" applyFont="1" applyFill="1" applyBorder="1" applyAlignment="1">
      <x:alignment vertical="center" wrapText="1"/>
    </x:xf>
    <x:xf numFmtId="0" fontId="6" fillId="3" borderId="26" xfId="0" applyNumberFormat="1" applyFont="1" applyFill="1" applyBorder="1" applyAlignment="1">
      <x:alignment vertical="center" wrapText="1"/>
    </x:xf>
    <x:xf numFmtId="0" fontId="6" fillId="3" borderId="27" xfId="0" applyNumberFormat="1" applyFont="1" applyFill="1" applyBorder="1" applyAlignment="1">
      <x:alignment vertical="center" wrapText="1"/>
    </x:xf>
    <x:xf numFmtId="200" fontId="6" fillId="0" borderId="28" xfId="0" applyNumberFormat="1" applyFont="1" applyFill="1" applyBorder="1"/>
    <x:xf numFmtId="203" fontId="6" fillId="0" borderId="29" xfId="0" applyNumberFormat="1" applyFont="1" applyFill="1" applyBorder="1"/>
    <x:xf numFmtId="203" fontId="6" fillId="0" borderId="29" xfId="0" applyNumberFormat="1" applyFont="1" applyFill="1" applyBorder="1" applyAlignment="1">
      <x:alignment horizontal="center"/>
    </x:xf>
    <x:xf numFmtId="203" fontId="6" fillId="0" borderId="30" xfId="0" applyNumberFormat="1" applyFont="1" applyFill="1" applyBorder="1"/>
    <x:xf numFmtId="200" fontId="6" fillId="0" borderId="31" xfId="0" applyNumberFormat="1" applyFont="1" applyFill="1" applyBorder="1"/>
    <x:xf numFmtId="203" fontId="6" fillId="0" borderId="32" xfId="0" applyNumberFormat="1" applyFont="1" applyFill="1" applyBorder="1"/>
    <x:xf numFmtId="203" fontId="6" fillId="0" borderId="32" xfId="0" applyNumberFormat="1" applyFont="1" applyFill="1" applyBorder="1" applyAlignment="1">
      <x:alignment horizontal="center"/>
    </x:xf>
    <x:xf numFmtId="203" fontId="6" fillId="0" borderId="33" xfId="0" applyNumberFormat="1" applyFont="1" applyFill="1" applyBorder="1"/>
    <x:xf numFmtId="200" fontId="6" fillId="0" borderId="34" xfId="0" applyNumberFormat="1" applyFont="1" applyFill="1" applyBorder="1"/>
    <x:xf numFmtId="203" fontId="6" fillId="0" borderId="35" xfId="0" applyNumberFormat="1" applyFont="1" applyFill="1" applyBorder="1"/>
    <x:xf numFmtId="203" fontId="6" fillId="0" borderId="35" xfId="0" applyNumberFormat="1" applyFont="1" applyFill="1" applyBorder="1" applyAlignment="1">
      <x:alignment horizontal="center"/>
    </x:xf>
    <x:xf numFmtId="203" fontId="6" fillId="0" borderId="36" xfId="0" applyNumberFormat="1" applyFont="1" applyFill="1" applyBorder="1"/>
    <x:xf numFmtId="200" fontId="6" fillId="0" borderId="28" xfId="0" applyNumberFormat="1" applyFont="1" applyFill="1" applyBorder="1" applyAlignment="1">
      <x:alignment vertical="center"/>
    </x:xf>
    <x:xf numFmtId="203" fontId="6" fillId="0" borderId="29" xfId="0" applyNumberFormat="1" applyFont="1" applyFill="1" applyBorder="1" applyAlignment="1">
      <x:alignment vertical="center"/>
    </x:xf>
    <x:xf numFmtId="203" fontId="6" fillId="0" borderId="29" xfId="0" applyNumberFormat="1" applyFont="1" applyFill="1" applyBorder="1" applyAlignment="1">
      <x:alignment horizontal="center" vertical="center"/>
    </x:xf>
    <x:xf numFmtId="203" fontId="6" fillId="0" borderId="30" xfId="0" applyNumberFormat="1" applyFont="1" applyFill="1" applyBorder="1" applyAlignment="1">
      <x:alignment vertical="center"/>
    </x:xf>
    <x:xf numFmtId="200" fontId="6" fillId="0" borderId="31" xfId="0" applyNumberFormat="1" applyFont="1" applyFill="1" applyBorder="1" applyAlignment="1">
      <x:alignment vertical="center"/>
    </x:xf>
    <x:xf numFmtId="203" fontId="6" fillId="0" borderId="32" xfId="0" applyNumberFormat="1" applyFont="1" applyFill="1" applyBorder="1" applyAlignment="1">
      <x:alignment vertical="center"/>
    </x:xf>
    <x:xf numFmtId="203" fontId="6" fillId="0" borderId="32" xfId="0" applyNumberFormat="1" applyFont="1" applyFill="1" applyBorder="1" applyAlignment="1">
      <x:alignment horizontal="center" vertical="center"/>
    </x:xf>
    <x:xf numFmtId="203" fontId="6" fillId="0" borderId="33" xfId="0" applyNumberFormat="1" applyFont="1" applyFill="1" applyBorder="1" applyAlignment="1">
      <x:alignment vertical="center"/>
    </x:xf>
    <x:xf numFmtId="200" fontId="6" fillId="0" borderId="34" xfId="0" applyNumberFormat="1" applyFont="1" applyFill="1" applyBorder="1" applyAlignment="1">
      <x:alignment vertical="center"/>
    </x:xf>
    <x:xf numFmtId="203" fontId="6" fillId="0" borderId="35" xfId="0" applyNumberFormat="1" applyFont="1" applyFill="1" applyBorder="1" applyAlignment="1">
      <x:alignment vertical="center"/>
    </x:xf>
    <x:xf numFmtId="203" fontId="6" fillId="0" borderId="35" xfId="0" applyNumberFormat="1" applyFont="1" applyFill="1" applyBorder="1" applyAlignment="1">
      <x:alignment horizontal="center" vertical="center"/>
    </x:xf>
    <x:xf numFmtId="203" fontId="6" fillId="0" borderId="36" xfId="0" applyNumberFormat="1" applyFont="1" applyFill="1" applyBorder="1" applyAlignment="1">
      <x:alignment vertical="center"/>
    </x:xf>
    <x:xf numFmtId="201" fontId="6" fillId="0" borderId="28" xfId="0" applyNumberFormat="1" applyFont="1" applyFill="1" applyBorder="1"/>
    <x:xf numFmtId="201" fontId="6" fillId="0" borderId="29" xfId="0" applyNumberFormat="1" applyFont="1" applyFill="1" applyBorder="1"/>
    <x:xf numFmtId="0" fontId="6" fillId="0" borderId="29" xfId="0" applyNumberFormat="1" applyFont="1" applyFill="1" applyBorder="1"/>
    <x:xf numFmtId="201" fontId="6" fillId="0" borderId="30" xfId="0" applyNumberFormat="1" applyFont="1" applyFill="1" applyBorder="1"/>
    <x:xf numFmtId="201" fontId="6" fillId="0" borderId="31" xfId="0" applyNumberFormat="1" applyFont="1" applyFill="1" applyBorder="1"/>
    <x:xf numFmtId="201" fontId="6" fillId="0" borderId="32" xfId="0" applyNumberFormat="1" applyFont="1" applyFill="1" applyBorder="1"/>
    <x:xf numFmtId="0" fontId="6" fillId="0" borderId="32" xfId="0" applyNumberFormat="1" applyFont="1" applyFill="1" applyBorder="1"/>
    <x:xf numFmtId="201" fontId="6" fillId="0" borderId="33" xfId="0" applyNumberFormat="1" applyFont="1" applyFill="1" applyBorder="1"/>
    <x:xf numFmtId="201" fontId="6" fillId="0" borderId="34" xfId="0" applyNumberFormat="1" applyFont="1" applyFill="1" applyBorder="1"/>
    <x:xf numFmtId="201" fontId="6" fillId="0" borderId="35" xfId="0" applyNumberFormat="1" applyFont="1" applyFill="1" applyBorder="1"/>
    <x:xf numFmtId="0" fontId="6" fillId="0" borderId="35" xfId="0" applyNumberFormat="1" applyFont="1" applyFill="1" applyBorder="1"/>
    <x:xf numFmtId="201" fontId="6" fillId="0" borderId="36" xfId="0" applyNumberFormat="1" applyFont="1" applyFill="1" applyBorder="1"/>
    <x:xf numFmtId="201" fontId="6" fillId="0" borderId="28" xfId="0" applyNumberFormat="1" applyFont="1" applyFill="1" applyBorder="1" applyAlignment="1">
      <x:alignment vertical="center"/>
    </x:xf>
    <x:xf numFmtId="201" fontId="6" fillId="0" borderId="29" xfId="0" applyNumberFormat="1" applyFont="1" applyFill="1" applyBorder="1" applyAlignment="1">
      <x:alignment vertical="center"/>
    </x:xf>
    <x:xf numFmtId="0" fontId="6" fillId="0" borderId="29" xfId="0" applyNumberFormat="1" applyFont="1" applyFill="1" applyBorder="1" applyAlignment="1">
      <x:alignment vertical="center"/>
    </x:xf>
    <x:xf numFmtId="201" fontId="6" fillId="0" borderId="30" xfId="0" applyNumberFormat="1" applyFont="1" applyFill="1" applyBorder="1" applyAlignment="1">
      <x:alignment vertical="center"/>
    </x:xf>
    <x:xf numFmtId="201" fontId="6" fillId="0" borderId="31" xfId="0" applyNumberFormat="1" applyFont="1" applyFill="1" applyBorder="1" applyAlignment="1">
      <x:alignment vertical="center"/>
    </x:xf>
    <x:xf numFmtId="201" fontId="6" fillId="0" borderId="32" xfId="0" applyNumberFormat="1" applyFont="1" applyFill="1" applyBorder="1" applyAlignment="1">
      <x:alignment vertical="center"/>
    </x:xf>
    <x:xf numFmtId="0" fontId="6" fillId="0" borderId="32" xfId="0" applyNumberFormat="1" applyFont="1" applyFill="1" applyBorder="1" applyAlignment="1">
      <x:alignment vertical="center"/>
    </x:xf>
    <x:xf numFmtId="201" fontId="6" fillId="0" borderId="33" xfId="0" applyNumberFormat="1" applyFont="1" applyFill="1" applyBorder="1" applyAlignment="1">
      <x:alignment vertical="center"/>
    </x:xf>
    <x:xf numFmtId="201" fontId="6" fillId="0" borderId="34" xfId="0" applyNumberFormat="1" applyFont="1" applyFill="1" applyBorder="1" applyAlignment="1">
      <x:alignment vertical="center"/>
    </x:xf>
    <x:xf numFmtId="201" fontId="6" fillId="0" borderId="35" xfId="0" applyNumberFormat="1" applyFont="1" applyFill="1" applyBorder="1" applyAlignment="1">
      <x:alignment vertical="center"/>
    </x:xf>
    <x:xf numFmtId="0" fontId="6" fillId="0" borderId="35" xfId="0" applyNumberFormat="1" applyFont="1" applyFill="1" applyBorder="1" applyAlignment="1">
      <x:alignment vertical="center"/>
    </x:xf>
    <x:xf numFmtId="201" fontId="6" fillId="0" borderId="36" xfId="0" applyNumberFormat="1" applyFont="1" applyFill="1" applyBorder="1" applyAlignment="1">
      <x:alignment vertical="center"/>
    </x:xf>
    <x:xf numFmtId="0" fontId="5" fillId="4" borderId="28" xfId="0" applyNumberFormat="1" applyFont="1" applyFill="1" applyBorder="1" applyAlignment="1">
      <x:alignment wrapText="1"/>
    </x:xf>
    <x:xf numFmtId="0" fontId="6" fillId="4" borderId="29" xfId="0" applyNumberFormat="1" applyFont="1" applyFill="1" applyBorder="1" applyAlignment="1">
      <x:alignment wrapText="1"/>
    </x:xf>
    <x:xf numFmtId="0" fontId="6" fillId="4" borderId="30" xfId="0" applyNumberFormat="1" applyFont="1" applyFill="1" applyBorder="1" applyAlignment="1">
      <x:alignment wrapText="1"/>
    </x:xf>
    <x:xf numFmtId="0" fontId="5" fillId="4" borderId="31" xfId="0" applyNumberFormat="1" applyFont="1" applyFill="1" applyBorder="1" applyAlignment="1">
      <x:alignment wrapText="1"/>
    </x:xf>
    <x:xf numFmtId="0" fontId="6" fillId="4" borderId="32" xfId="0" applyNumberFormat="1" applyFont="1" applyFill="1" applyBorder="1" applyAlignment="1">
      <x:alignment wrapText="1"/>
    </x:xf>
    <x:xf numFmtId="0" fontId="6" fillId="4" borderId="33" xfId="0" applyNumberFormat="1" applyFont="1" applyFill="1" applyBorder="1" applyAlignment="1">
      <x:alignment wrapText="1"/>
    </x:xf>
    <x:xf numFmtId="0" fontId="5" fillId="4" borderId="34" xfId="0" applyNumberFormat="1" applyFont="1" applyFill="1" applyBorder="1" applyAlignment="1">
      <x:alignment wrapText="1"/>
    </x:xf>
    <x:xf numFmtId="0" fontId="6" fillId="4" borderId="35" xfId="0" applyNumberFormat="1" applyFont="1" applyFill="1" applyBorder="1" applyAlignment="1">
      <x:alignment wrapText="1"/>
    </x:xf>
    <x:xf numFmtId="0" fontId="6" fillId="4" borderId="36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4" borderId="28" xfId="0" applyNumberFormat="1" applyFont="1" applyFill="1" applyBorder="1" applyAlignment="1">
      <x:alignment vertical="center" wrapText="1"/>
    </x:xf>
    <x:xf numFmtId="0" fontId="6" fillId="4" borderId="29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5" fillId="4" borderId="31" xfId="0" applyNumberFormat="1" applyFont="1" applyFill="1" applyBorder="1" applyAlignment="1">
      <x:alignment vertical="center" wrapText="1"/>
    </x:xf>
    <x:xf numFmtId="0" fontId="6" fillId="4" borderId="32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5" fillId="4" borderId="34" xfId="0" applyNumberFormat="1" applyFont="1" applyFill="1" applyBorder="1" applyAlignment="1">
      <x:alignment vertical="center" wrapText="1"/>
    </x:xf>
    <x:xf numFmtId="0" fontId="6" fillId="4" borderId="35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3b65fedf74473" /><Relationship Type="http://schemas.openxmlformats.org/officeDocument/2006/relationships/theme" Target="/xl/theme/theme1.xml" Id="R80b9d9acea984c08" /><Relationship Type="http://schemas.openxmlformats.org/officeDocument/2006/relationships/sharedStrings" Target="/xl/sharedStrings.xml" Id="Rab5384d296c94ecb" /><Relationship Type="http://schemas.openxmlformats.org/officeDocument/2006/relationships/worksheet" Target="/xl/worksheets/sheet1.xml" Id="R004025c0ea9e4e5e" /><Relationship Type="http://schemas.openxmlformats.org/officeDocument/2006/relationships/worksheet" Target="/xl/worksheets/sheet2.xml" Id="Rb6f28bd80b1b4e47" /><Relationship Type="http://schemas.openxmlformats.org/officeDocument/2006/relationships/worksheet" Target="/xl/worksheets/sheet3.xml" Id="R2fcaf67c2ab844d0" /><Relationship Type="http://schemas.openxmlformats.org/officeDocument/2006/relationships/worksheet" Target="/xl/worksheets/sheet4.xml" Id="R68464a464660447b" /><Relationship Type="http://schemas.openxmlformats.org/officeDocument/2006/relationships/worksheet" Target="/xl/worksheets/sheet5.xml" Id="R1a188ba22e224771" /><Relationship Type="http://schemas.openxmlformats.org/officeDocument/2006/relationships/worksheet" Target="/xl/worksheets/sheet6.xml" Id="Rf2d98d76ae4d4a6b" /><Relationship Type="http://schemas.openxmlformats.org/officeDocument/2006/relationships/worksheet" Target="/xl/worksheets/sheet7.xml" Id="Rc9f6339c268a4d44" /><Relationship Type="http://schemas.openxmlformats.org/officeDocument/2006/relationships/worksheet" Target="/xl/worksheets/sheet8.xml" Id="Reb8976f90a0b4257" /><Relationship Type="http://schemas.openxmlformats.org/officeDocument/2006/relationships/worksheet" Target="/xl/worksheets/sheet9.xml" Id="R9ed886ff3cb64235" /><Relationship Type="http://schemas.openxmlformats.org/officeDocument/2006/relationships/worksheet" Target="/xl/worksheets/sheet10.xml" Id="R29ccace535f34d8f" /><Relationship Type="http://schemas.openxmlformats.org/officeDocument/2006/relationships/worksheet" Target="/xl/worksheets/sheet11.xml" Id="Rd83298d9d7e14dbd" /><Relationship Type="http://schemas.microsoft.com/office/2017/10/relationships/person" Target="/xl/persons/person.xml" Id="R3fcb8061057541ce" /></Relationships>
</file>

<file path=xl/persons/person.xml><?xml version="1.0" encoding="utf-8"?>
<xltc:personList xmlns:xltc="http://schemas.microsoft.com/office/spreadsheetml/2018/threadedcomments">
  <xltc:person displayName="Shahd Hegazy" id="{8B0CB243-24A4-4C12-BF6E-CB4FE87573B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8-04T23:08:00.649" personId="{8B0CB243-24A4-4C12-BF6E-CB4FE87573B5}" id="{4C751C13-3009-3DE5-78D0-AC5FC7CC1F88}">
    <xltc:text>Default requested target is 3.0 volts. Change only if the approved design criterion changes.</xltc:text>
  </xltc:threadedComment>
  <xltc:threadedComment ref="B12" dT="2026-08-04T23:08:00.65" personId="{8B0CB243-24A4-4C12-BF6E-CB4FE87573B5}" id="{7ABC6AAB-E790-EFD5-BE59-70B9EFE8EFC4}">
    <xltc:text>This is conductor operating temperature for resistance correction, not ambient temperature.</xltc:text>
  </xltc:threadedComment>
  <xltc:threadedComment ref="B10" dT="2026-08-04T23:08:00.65" personId="{8B0CB243-24A4-4C12-BF6E-CB4FE87573B5}" id="{920BB00C-1023-E338-1BEE-E14A9353D853}">
    <xltc:text>Confirm actual loaded-circuit grouping and physical spacing. The source photograph alone is insufficient to determine the correct factor.</xltc:text>
  </xltc:threadedComment>
</xltc:ThreadedComment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3a9ebefdc1ae41a6" /><Relationship Type="http://schemas.openxmlformats.org/officeDocument/2006/relationships/vmlDrawing" Target="/xl/drawings/vmldrawing.vml" Id="R5341f50955eb4e86" /><Relationship Type="http://schemas.microsoft.com/office/2017/10/relationships/threadedComment" Target="/xl/threadedcomments/threadedcomment.xml" Id="R784327c4367a4b44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Breaker_ID</x:t>
        </x:is>
      </x:c>
      <x:c r="B1" t="inlineStr">
        <x:is>
          <x:t xml:space="preserve">Rating_A</x:t>
        </x:is>
      </x:c>
    </x:row>
    <x:row r="2">
      <x:c r="A2" t="inlineStr">
        <x:is>
          <x:t xml:space="preserve">CB001</x:t>
        </x:is>
      </x:c>
      <x:c r="B2" t="n">
        <x:v>2</x:v>
      </x:c>
    </x:row>
    <x:row r="3">
      <x:c r="A3" t="inlineStr">
        <x:is>
          <x:t xml:space="preserve">CB002</x:t>
        </x:is>
      </x:c>
      <x:c r="B3" t="n">
        <x:v>4</x:v>
      </x:c>
    </x:row>
    <x:row r="4">
      <x:c r="A4" t="inlineStr">
        <x:is>
          <x:t xml:space="preserve">CB003</x:t>
        </x:is>
      </x:c>
      <x:c r="B4" t="n">
        <x:v>6</x:v>
      </x:c>
    </x:row>
    <x:row r="5">
      <x:c r="A5" t="inlineStr">
        <x:is>
          <x:t xml:space="preserve">CB004</x:t>
        </x:is>
      </x:c>
      <x:c r="B5" t="n">
        <x:v>10</x:v>
      </x:c>
    </x:row>
    <x:row r="6">
      <x:c r="A6" t="inlineStr">
        <x:is>
          <x:t xml:space="preserve">CB005</x:t>
        </x:is>
      </x:c>
      <x:c r="B6" t="n">
        <x:v>16</x:v>
      </x:c>
    </x:row>
    <x:row r="7">
      <x:c r="A7" t="inlineStr">
        <x:is>
          <x:t xml:space="preserve">CB006</x:t>
        </x:is>
      </x:c>
      <x:c r="B7" t="n">
        <x:v>20</x:v>
      </x:c>
    </x:row>
    <x:row r="8">
      <x:c r="A8" t="inlineStr">
        <x:is>
          <x:t xml:space="preserve">CB007</x:t>
        </x:is>
      </x:c>
      <x:c r="B8" t="n">
        <x:v>25</x:v>
      </x:c>
    </x:row>
    <x:row r="9">
      <x:c r="A9" t="inlineStr">
        <x:is>
          <x:t xml:space="preserve">CB008</x:t>
        </x:is>
      </x:c>
      <x:c r="B9" t="n">
        <x:v>32</x:v>
      </x:c>
    </x:row>
    <x:row r="10">
      <x:c r="A10" t="inlineStr">
        <x:is>
          <x:t xml:space="preserve">CB009</x:t>
        </x:is>
      </x:c>
      <x:c r="B10" t="n">
        <x:v>40</x:v>
      </x:c>
    </x:row>
    <x:row r="11">
      <x:c r="A11" t="inlineStr">
        <x:is>
          <x:t xml:space="preserve">CB010</x:t>
        </x:is>
      </x:c>
      <x:c r="B11" t="n">
        <x:v>50</x:v>
      </x:c>
    </x:row>
    <x:row r="12">
      <x:c r="A12" t="inlineStr">
        <x:is>
          <x:t xml:space="preserve">CB011</x:t>
        </x:is>
      </x:c>
      <x:c r="B12" t="n">
        <x:v>63</x:v>
      </x:c>
    </x:row>
    <x:row r="13">
      <x:c r="A13" t="inlineStr">
        <x:is>
          <x:t xml:space="preserve">CB012</x:t>
        </x:is>
      </x:c>
      <x:c r="B13" t="n">
        <x:v>80</x:v>
      </x:c>
    </x:row>
    <x:row r="14">
      <x:c r="A14" t="inlineStr">
        <x:is>
          <x:t xml:space="preserve">CB013</x:t>
        </x:is>
      </x:c>
      <x:c r="B14" t="n">
        <x:v>100</x:v>
      </x:c>
    </x:row>
    <x:row r="15">
      <x:c r="A15" t="inlineStr">
        <x:is>
          <x:t xml:space="preserve">CB014</x:t>
        </x:is>
      </x:c>
      <x:c r="B15" t="n">
        <x:v>125</x:v>
      </x:c>
    </x:row>
    <x:row r="16">
      <x:c r="A16" t="inlineStr">
        <x:is>
          <x:t xml:space="preserve">CB015</x:t>
        </x:is>
      </x:c>
      <x:c r="B16" t="n">
        <x:v>160</x:v>
      </x:c>
    </x:row>
    <x:row r="17">
      <x:c r="A17" t="inlineStr">
        <x:is>
          <x:t xml:space="preserve">CB016</x:t>
        </x:is>
      </x:c>
      <x:c r="B17" t="n">
        <x:v>200</x:v>
      </x:c>
    </x:row>
    <x:row r="18">
      <x:c r="A18" t="inlineStr">
        <x:is>
          <x:t xml:space="preserve">CB017</x:t>
        </x:is>
      </x:c>
      <x:c r="B18" t="n">
        <x:v>250</x:v>
      </x:c>
    </x:row>
    <x:row r="19">
      <x:c r="A19" t="inlineStr">
        <x:is>
          <x:t xml:space="preserve">CB018</x:t>
        </x:is>
      </x:c>
      <x:c r="B19" t="n">
        <x:v>315</x:v>
      </x:c>
    </x:row>
    <x:row r="20">
      <x:c r="A20" t="inlineStr">
        <x:is>
          <x:t xml:space="preserve">CB019</x:t>
        </x:is>
      </x:c>
      <x:c r="B20" t="n">
        <x:v>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Size_mm2</x:t>
        </x:is>
      </x:c>
      <x:c r="B1" t="inlineStr">
        <x:is>
          <x:t xml:space="preserve">Resistance_Ohm_per_km_20C</x:t>
        </x:is>
      </x:c>
      <x:c r="C1" t="inlineStr">
        <x:is>
          <x:t xml:space="preserve">Typical_Ampacity_A</x:t>
        </x:is>
      </x:c>
      <x:c r="D1" t="inlineStr">
        <x:is>
          <x:t xml:space="preserve">Material</x:t>
        </x:is>
      </x:c>
      <x:c r="E1" t="inlineStr">
        <x:is>
          <x:t xml:space="preserve">Insulation</x:t>
        </x:is>
      </x:c>
      <x:c r="F1" t="inlineStr">
        <x:is>
          <x:t xml:space="preserve">Voltage_Rating</x:t>
        </x:is>
      </x:c>
    </x:row>
    <x:row r="2">
      <x:c r="A2" t="n">
        <x:v>1.5</x:v>
      </x:c>
      <x:c r="B2" t="n">
        <x:v>12.1</x:v>
      </x:c>
      <x:c r="C2" t="n">
        <x:v>20</x:v>
      </x:c>
      <x:c r="D2" t="inlineStr">
        <x:is>
          <x:t xml:space="preserve">Copper</x:t>
        </x:is>
      </x:c>
      <x:c r="E2" t="inlineStr">
        <x:is>
          <x:t xml:space="preserve">XLPE LSZH</x:t>
        </x:is>
      </x:c>
      <x:c r="F2" t="inlineStr">
        <x:is>
          <x:t xml:space="preserve">0.6/1 kV</x:t>
        </x:is>
      </x:c>
    </x:row>
    <x:row r="3">
      <x:c r="A3" t="n">
        <x:v>2.5</x:v>
      </x:c>
      <x:c r="B3" t="n">
        <x:v>7.41</x:v>
      </x:c>
      <x:c r="C3" t="n">
        <x:v>27</x:v>
      </x:c>
      <x:c r="D3" t="inlineStr">
        <x:is>
          <x:t xml:space="preserve">Copper</x:t>
        </x:is>
      </x:c>
      <x:c r="E3" t="inlineStr">
        <x:is>
          <x:t xml:space="preserve">XLPE LSZH</x:t>
        </x:is>
      </x:c>
      <x:c r="F3" t="inlineStr">
        <x:is>
          <x:t xml:space="preserve">0.6/1 kV</x:t>
        </x:is>
      </x:c>
    </x:row>
    <x:row r="4">
      <x:c r="A4" t="n">
        <x:v>4</x:v>
      </x:c>
      <x:c r="B4" t="n">
        <x:v>4.61</x:v>
      </x:c>
      <x:c r="C4" t="n">
        <x:v>37</x:v>
      </x:c>
      <x:c r="D4" t="inlineStr">
        <x:is>
          <x:t xml:space="preserve">Copper</x:t>
        </x:is>
      </x:c>
      <x:c r="E4" t="inlineStr">
        <x:is>
          <x:t xml:space="preserve">XLPE LSZH</x:t>
        </x:is>
      </x:c>
      <x:c r="F4" t="inlineStr">
        <x:is>
          <x:t xml:space="preserve">0.6/1 kV</x:t>
        </x:is>
      </x:c>
    </x:row>
    <x:row r="5">
      <x:c r="A5" t="n">
        <x:v>6</x:v>
      </x:c>
      <x:c r="B5" t="n">
        <x:v>3.08</x:v>
      </x:c>
      <x:c r="C5" t="n">
        <x:v>47</x:v>
      </x:c>
      <x:c r="D5" t="inlineStr">
        <x:is>
          <x:t xml:space="preserve">Copper</x:t>
        </x:is>
      </x:c>
      <x:c r="E5" t="inlineStr">
        <x:is>
          <x:t xml:space="preserve">XLPE LSZH</x:t>
        </x:is>
      </x:c>
      <x:c r="F5" t="inlineStr">
        <x:is>
          <x:t xml:space="preserve">0.6/1 kV</x:t>
        </x:is>
      </x:c>
    </x:row>
    <x:row r="6">
      <x:c r="A6" t="n">
        <x:v>10</x:v>
      </x:c>
      <x:c r="B6" t="n">
        <x:v>1.83</x:v>
      </x:c>
      <x:c r="C6" t="n">
        <x:v>65</x:v>
      </x:c>
      <x:c r="D6" t="inlineStr">
        <x:is>
          <x:t xml:space="preserve">Copper</x:t>
        </x:is>
      </x:c>
      <x:c r="E6" t="inlineStr">
        <x:is>
          <x:t xml:space="preserve">XLPE LSZH</x:t>
        </x:is>
      </x:c>
      <x:c r="F6" t="inlineStr">
        <x:is>
          <x:t xml:space="preserve">0.6/1 kV</x:t>
        </x:is>
      </x:c>
    </x:row>
    <x:row r="7">
      <x:c r="A7" t="n">
        <x:v>16</x:v>
      </x:c>
      <x:c r="B7" t="n">
        <x:v>1.15</x:v>
      </x:c>
      <x:c r="C7" t="n">
        <x:v>87</x:v>
      </x:c>
      <x:c r="D7" t="inlineStr">
        <x:is>
          <x:t xml:space="preserve">Copper</x:t>
        </x:is>
      </x:c>
      <x:c r="E7" t="inlineStr">
        <x:is>
          <x:t xml:space="preserve">XLPE LSZH</x:t>
        </x:is>
      </x:c>
      <x:c r="F7" t="inlineStr">
        <x:is>
          <x:t xml:space="preserve">0.6/1 kV</x:t>
        </x:is>
      </x:c>
    </x:row>
    <x:row r="8">
      <x:c r="A8" t="n">
        <x:v>25</x:v>
      </x:c>
      <x:c r="B8" t="n">
        <x:v>0.727</x:v>
      </x:c>
      <x:c r="C8" t="n">
        <x:v>114</x:v>
      </x:c>
      <x:c r="D8" t="inlineStr">
        <x:is>
          <x:t xml:space="preserve">Copper</x:t>
        </x:is>
      </x:c>
      <x:c r="E8" t="inlineStr">
        <x:is>
          <x:t xml:space="preserve">XLPE LSZH</x:t>
        </x:is>
      </x:c>
      <x:c r="F8" t="inlineStr">
        <x:is>
          <x:t xml:space="preserve">0.6/1 kV</x:t>
        </x:is>
      </x:c>
    </x:row>
    <x:row r="9">
      <x:c r="A9" t="n">
        <x:v>35</x:v>
      </x:c>
      <x:c r="B9" t="n">
        <x:v>0.524</x:v>
      </x:c>
      <x:c r="C9" t="n">
        <x:v>141</x:v>
      </x:c>
      <x:c r="D9" t="inlineStr">
        <x:is>
          <x:t xml:space="preserve">Copper</x:t>
        </x:is>
      </x:c>
      <x:c r="E9" t="inlineStr">
        <x:is>
          <x:t xml:space="preserve">XLPE LSZH</x:t>
        </x:is>
      </x:c>
      <x:c r="F9" t="inlineStr">
        <x:is>
          <x:t xml:space="preserve">0.6/1 kV</x:t>
        </x:is>
      </x:c>
    </x:row>
    <x:row r="10">
      <x:c r="A10" t="n">
        <x:v>50</x:v>
      </x:c>
      <x:c r="B10" t="n">
        <x:v>0.387</x:v>
      </x:c>
      <x:c r="C10" t="n">
        <x:v>176</x:v>
      </x:c>
      <x:c r="D10" t="inlineStr">
        <x:is>
          <x:t xml:space="preserve">Copper</x:t>
        </x:is>
      </x:c>
      <x:c r="E10" t="inlineStr">
        <x:is>
          <x:t xml:space="preserve">XLPE LSZH</x:t>
        </x:is>
      </x:c>
      <x:c r="F10" t="inlineStr">
        <x:is>
          <x:t xml:space="preserve">0.6/1 kV</x:t>
        </x:is>
      </x:c>
    </x:row>
    <x:row r="11">
      <x:c r="A11" t="n">
        <x:v>70</x:v>
      </x:c>
      <x:c r="B11" t="n">
        <x:v>0.268</x:v>
      </x:c>
      <x:c r="C11" t="n">
        <x:v>221</x:v>
      </x:c>
      <x:c r="D11" t="inlineStr">
        <x:is>
          <x:t xml:space="preserve">Copper</x:t>
        </x:is>
      </x:c>
      <x:c r="E11" t="inlineStr">
        <x:is>
          <x:t xml:space="preserve">XLPE LSZH</x:t>
        </x:is>
      </x:c>
      <x:c r="F11" t="inlineStr">
        <x:is>
          <x:t xml:space="preserve">0.6/1 kV</x:t>
        </x:is>
      </x:c>
    </x:row>
    <x:row r="12">
      <x:c r="A12" t="n">
        <x:v>95</x:v>
      </x:c>
      <x:c r="B12" t="n">
        <x:v>0.193</x:v>
      </x:c>
      <x:c r="C12" t="n">
        <x:v>269</x:v>
      </x:c>
      <x:c r="D12" t="inlineStr">
        <x:is>
          <x:t xml:space="preserve">Copper</x:t>
        </x:is>
      </x:c>
      <x:c r="E12" t="inlineStr">
        <x:is>
          <x:t xml:space="preserve">XLPE LSZH</x:t>
        </x:is>
      </x:c>
      <x:c r="F12" t="inlineStr">
        <x:is>
          <x:t xml:space="preserve">0.6/1 kV</x:t>
        </x:is>
      </x:c>
    </x:row>
    <x:row r="13">
      <x:c r="A13" t="n">
        <x:v>120</x:v>
      </x:c>
      <x:c r="B13" t="n">
        <x:v>0.153</x:v>
      </x:c>
      <x:c r="C13" t="n">
        <x:v>312</x:v>
      </x:c>
      <x:c r="D13" t="inlineStr">
        <x:is>
          <x:t xml:space="preserve">Copper</x:t>
        </x:is>
      </x:c>
      <x:c r="E13" t="inlineStr">
        <x:is>
          <x:t xml:space="preserve">XLPE LSZH</x:t>
        </x:is>
      </x:c>
      <x:c r="F13" t="inlineStr">
        <x:is>
          <x:t xml:space="preserve">0.6/1 kV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Ambient_C</x:t>
        </x:is>
      </x:c>
      <x:c r="B1" t="inlineStr">
        <x:is>
          <x:t xml:space="preserve">Correction_Factor</x:t>
        </x:is>
      </x:c>
    </x:row>
    <x:row r="2">
      <x:c r="A2" t="n">
        <x:v>20</x:v>
      </x:c>
      <x:c r="B2" t="n">
        <x:v>1.08</x:v>
      </x:c>
    </x:row>
    <x:row r="3">
      <x:c r="A3" t="n">
        <x:v>25</x:v>
      </x:c>
      <x:c r="B3" t="n">
        <x:v>1.04</x:v>
      </x:c>
    </x:row>
    <x:row r="4">
      <x:c r="A4" t="n">
        <x:v>30</x:v>
      </x:c>
      <x:c r="B4" t="n">
        <x:v>1</x:v>
      </x:c>
    </x:row>
    <x:row r="5">
      <x:c r="A5" t="n">
        <x:v>35</x:v>
      </x:c>
      <x:c r="B5" t="n">
        <x:v>0.9399999999999999</x:v>
      </x:c>
    </x:row>
    <x:row r="6">
      <x:c r="A6" t="n">
        <x:v>40</x:v>
      </x:c>
      <x:c r="B6" t="n">
        <x:v>0.87</x:v>
      </x:c>
    </x:row>
    <x:row r="7">
      <x:c r="A7" t="n">
        <x:v>45</x:v>
      </x:c>
      <x:c r="B7" t="n">
        <x:v>0.79</x:v>
      </x:c>
    </x:row>
    <x:row r="8">
      <x:c r="A8" t="n">
        <x:v>50</x:v>
      </x:c>
      <x:c r="B8" t="n">
        <x:v>0.71</x:v>
      </x:c>
    </x:row>
    <x:row r="9">
      <x:c r="A9" t="n">
        <x:v>55</x:v>
      </x:c>
      <x:c r="B9" t="n">
        <x:v>0.61</x:v>
      </x:c>
    </x:row>
    <x:row r="10">
      <x:c r="A10" t="n">
        <x:v>60</x:v>
      </x:c>
      <x:c r="B10" t="n">
        <x:v>0.5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Loaded_Circuits</x:t>
        </x:is>
      </x:c>
      <x:c r="B1" t="inlineStr">
        <x:is>
          <x:t xml:space="preserve">Correction_Factor</x:t>
        </x:is>
      </x:c>
    </x:row>
    <x:row r="2">
      <x:c r="A2" t="n">
        <x:v>1</x:v>
      </x:c>
      <x:c r="B2" t="n">
        <x:v>1</x:v>
      </x:c>
    </x:row>
    <x:row r="3">
      <x:c r="A3" t="n">
        <x:v>2</x:v>
      </x:c>
      <x:c r="B3" t="n">
        <x:v>0.8</x:v>
      </x:c>
    </x:row>
    <x:row r="4">
      <x:c r="A4" t="n">
        <x:v>3</x:v>
      </x:c>
      <x:c r="B4" t="n">
        <x:v>0.7</x:v>
      </x:c>
    </x:row>
    <x:row r="5">
      <x:c r="A5" t="n">
        <x:v>4</x:v>
      </x:c>
      <x:c r="B5" t="n">
        <x:v>0.65</x:v>
      </x:c>
    </x:row>
    <x:row r="6">
      <x:c r="A6" t="n">
        <x:v>5</x:v>
      </x:c>
      <x:c r="B6" t="n">
        <x:v>0.6</x:v>
      </x:c>
    </x:row>
    <x:row r="7">
      <x:c r="A7" t="n">
        <x:v>6</x:v>
      </x:c>
      <x:c r="B7" t="n">
        <x:v>0.57</x:v>
      </x:c>
    </x:row>
    <x:row r="8">
      <x:c r="A8" t="n">
        <x:v>7</x:v>
      </x:c>
      <x:c r="B8" t="n">
        <x:v>0.54</x:v>
      </x:c>
    </x:row>
    <x:row r="9">
      <x:c r="A9" t="n">
        <x:v>8</x:v>
      </x:c>
      <x:c r="B9" t="n">
        <x:v>0.52</x:v>
      </x:c>
    </x:row>
    <x:row r="10">
      <x:c r="A10" t="n">
        <x:v>9</x:v>
      </x:c>
      <x:c r="B10" t="n">
        <x:v>0.5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Method</x:t>
        </x:is>
      </x:c>
      <x:c r="B1" t="inlineStr">
        <x:is>
          <x:t xml:space="preserve">Typical_Factor</x:t>
        </x:is>
      </x:c>
      <x:c r="C1" t="inlineStr">
        <x:is>
          <x:t xml:space="preserve">Notes</x:t>
        </x:is>
      </x:c>
    </x:row>
    <x:row r="2">
      <x:c r="A2" t="inlineStr">
        <x:is>
          <x:t xml:space="preserve">Free Air</x:t>
        </x:is>
      </x:c>
      <x:c r="B2" t="n">
        <x:v>1.1</x:v>
      </x:c>
      <x:c r="C2" t="inlineStr">
        <x:is>
          <x:t xml:space="preserve">Best cooling</x:t>
        </x:is>
      </x:c>
    </x:row>
    <x:row r="3">
      <x:c r="A3" t="inlineStr">
        <x:is>
          <x:t xml:space="preserve">Cable Tray</x:t>
        </x:is>
      </x:c>
      <x:c r="B3" t="n">
        <x:v>1</x:v>
      </x:c>
      <x:c r="C3" t="inlineStr">
        <x:is>
          <x:t xml:space="preserve">Typical data center</x:t>
        </x:is>
      </x:c>
    </x:row>
    <x:row r="4">
      <x:c r="A4" t="inlineStr">
        <x:is>
          <x:t xml:space="preserve">Perforated Tray</x:t>
        </x:is>
      </x:c>
      <x:c r="B4" t="n">
        <x:v>1</x:v>
      </x:c>
      <x:c r="C4" t="inlineStr">
        <x:is>
          <x:t xml:space="preserve">Typical</x:t>
        </x:is>
      </x:c>
    </x:row>
    <x:row r="5">
      <x:c r="A5" t="inlineStr">
        <x:is>
          <x:t xml:space="preserve">Conduit</x:t>
        </x:is>
      </x:c>
      <x:c r="B5" t="n">
        <x:v>0.9</x:v>
      </x:c>
      <x:c r="C5" t="inlineStr">
        <x:is>
          <x:t xml:space="preserve">Reduced cooling</x:t>
        </x:is>
      </x:c>
    </x:row>
    <x:row r="6">
      <x:c r="A6" t="inlineStr">
        <x:is>
          <x:t xml:space="preserve">Buried</x:t>
        </x:is>
      </x:c>
      <x:c r="B6" t="n">
        <x:v>0.85</x:v>
      </x:c>
      <x:c r="C6" t="inlineStr">
        <x:is>
          <x:t xml:space="preserve">Depends on soil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Parameter</x:t>
        </x:is>
      </x:c>
      <x:c r="B1" t="inlineStr">
        <x:is>
          <x:t xml:space="preserve">Formula</x:t>
        </x:is>
      </x:c>
    </x:row>
    <x:row r="2">
      <x:c r="A2" t="inlineStr">
        <x:is>
          <x:t xml:space="preserve">DC Resistance</x:t>
        </x:is>
      </x:c>
      <x:c r="B2" t="inlineStr">
        <x:is>
          <x:t xml:space="preserve">R = R_km * L / 1000</x:t>
        </x:is>
      </x:c>
    </x:row>
    <x:row r="3">
      <x:c r="A3" t="inlineStr">
        <x:is>
          <x:t xml:space="preserve">DC Voltage Drop</x:t>
        </x:is>
      </x:c>
      <x:c r="B3" t="inlineStr">
        <x:is>
          <x:t xml:space="preserve">Vd = 2 * I * R</x:t>
        </x:is>
      </x:c>
    </x:row>
    <x:row r="4">
      <x:c r="A4" t="inlineStr">
        <x:is>
          <x:t xml:space="preserve">Using Ω/km</x:t>
        </x:is>
      </x:c>
      <x:c r="B4" t="inlineStr">
        <x:is>
          <x:t xml:space="preserve">Vd = 2 * I * R_km * L / 1000</x:t>
        </x:is>
      </x:c>
    </x:row>
    <x:row r="5">
      <x:c r="A5" t="inlineStr">
        <x:is>
          <x:t xml:space="preserve">Using Resistivity</x:t>
        </x:is>
      </x:c>
      <x:c r="B5" t="inlineStr">
        <x:is>
          <x:t xml:space="preserve">Vd = 2 * rho * L * I / A</x:t>
        </x:is>
      </x:c>
    </x:row>
    <x:row r="6">
      <x:c r="A6" t="inlineStr">
        <x:is>
          <x:t xml:space="preserve">Voltage Drop %</x:t>
        </x:is>
      </x:c>
      <x:c r="B6" t="inlineStr">
        <x:is>
          <x:t xml:space="preserve">Vd% = Vd / Vs * 100</x:t>
        </x:is>
      </x:c>
    </x:row>
    <x:row r="7">
      <x:c r="A7" t="inlineStr">
        <x:is>
          <x:t xml:space="preserve">Power Loss</x:t>
        </x:is>
      </x:c>
      <x:c r="B7" t="inlineStr">
        <x:is>
          <x:t xml:space="preserve">P_loss = 2 * I^2 * R</x:t>
        </x:is>
      </x:c>
    </x:row>
    <x:row r="8">
      <x:c r="A8" t="inlineStr">
        <x:is>
          <x:t xml:space="preserve">Max Length</x:t>
        </x:is>
      </x:c>
      <x:c r="B8" t="inlineStr">
        <x:is>
          <x:t xml:space="preserve">Lmax = Vd_max*1000/(2*I*R_km)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3" t="str">
        <x:v>DC Cable Design &amp; Automatic Selection Workbook</x:v>
      </x:c>
      <x:c r="B1" s="3" t="str">
        <x:v>DC Cable Design &amp; Automatic Selection Workbook</x:v>
      </x:c>
      <x:c r="C1" s="3" t="str">
        <x:v>DC Cable Design &amp; Automatic Selection Workbook</x:v>
      </x:c>
      <x:c r="D1" s="3" t="str">
        <x:v>DC Cable Design &amp; Automatic Selection Workbook</x:v>
      </x:c>
      <x:c r="E1" s="3" t="str">
        <x:v>DC Cable Design &amp; Automatic Selection Workbook</x:v>
      </x:c>
      <x:c r="F1" s="3" t="str">
        <x:v>DC Cable Design &amp; Automatic Selection Workbook</x:v>
      </x:c>
      <x:c r="G1" s="3" t="str">
        <x:v>DC Cable Design &amp; Automatic Selection Workbook</x:v>
      </x:c>
      <x:c r="H1" s="3" t="str">
        <x:v>DC Cable Design &amp; Automatic Selection Workbook</x:v>
      </x:c>
    </x:row>
    <x:row r="2" ht="30" customHeight="1">
      <x:c r="A2" s="3" t="str">
        <x:v>DC Cable Design &amp; Automatic Selection Workbook</x:v>
      </x:c>
      <x:c r="B2" s="3" t="str">
        <x:v>DC Cable Design &amp; Automatic Selection Workbook</x:v>
      </x:c>
      <x:c r="C2" s="3" t="str">
        <x:v>DC Cable Design &amp; Automatic Selection Workbook</x:v>
      </x:c>
      <x:c r="D2" s="3" t="str">
        <x:v>DC Cable Design &amp; Automatic Selection Workbook</x:v>
      </x:c>
      <x:c r="E2" s="3" t="str">
        <x:v>DC Cable Design &amp; Automatic Selection Workbook</x:v>
      </x:c>
      <x:c r="F2" s="3" t="str">
        <x:v>DC Cable Design &amp; Automatic Selection Workbook</x:v>
      </x:c>
      <x:c r="G2" s="3" t="str">
        <x:v>DC Cable Design &amp; Automatic Selection Workbook</x:v>
      </x:c>
      <x:c r="H2" s="3" t="str">
        <x:v>DC Cable Design &amp; Automatic Selection Workbook</x:v>
      </x:c>
    </x:row>
    <x:row r="3" ht="15" hidden="0" customHeight="1">
      <x:c r="A3" s="158"/>
      <x:c r="B3" s="158"/>
      <x:c r="C3" s="158"/>
      <x:c r="D3" s="158"/>
      <x:c r="E3" s="158"/>
      <x:c r="F3" s="158"/>
      <x:c r="G3" s="158"/>
      <x:c r="H3" s="158"/>
    </x:row>
    <x:row r="4" ht="15" hidden="0" customHeight="1">
      <x:c r="A4" s="159" t="str">
        <x:v>Status: Engineering draft for review — original colleague workbook preserved unchanged</x:v>
      </x:c>
      <x:c r="B4" s="160"/>
      <x:c r="C4" s="160"/>
      <x:c r="D4" s="160"/>
      <x:c r="E4" s="160"/>
      <x:c r="F4" s="160"/>
      <x:c r="G4" s="160"/>
      <x:c r="H4" s="161"/>
    </x:row>
    <x:row r="5" ht="15" hidden="0" customHeight="1">
      <x:c r="A5" s="158"/>
      <x:c r="B5" s="158"/>
      <x:c r="C5" s="158"/>
      <x:c r="D5" s="158"/>
      <x:c r="E5" s="158"/>
      <x:c r="F5" s="158"/>
      <x:c r="G5" s="158"/>
      <x:c r="H5" s="158"/>
    </x:row>
    <x:row r="6" ht="15" hidden="0" customHeight="1">
      <x:c r="A6" s="12" t="str">
        <x:v>Item</x:v>
      </x:c>
      <x:c r="B6" s="12" t="str">
        <x:v>Finding / decision</x:v>
      </x:c>
      <x:c r="C6" s="158"/>
      <x:c r="D6" s="158"/>
      <x:c r="E6" s="158"/>
      <x:c r="F6" s="158"/>
      <x:c r="G6" s="158"/>
      <x:c r="H6" s="158"/>
    </x:row>
    <x:row r="7" ht="26.399999618530273" hidden="0" customHeight="1">
      <x:c r="A7" s="163" t="str">
        <x:v>Original workbook</x:v>
      </x:c>
      <x:c r="B7" s="164" t="str">
        <x:v>Created by a colleague and treated as unverified source data. It contains six static lookup tables and no Excel calculation formulas.</x:v>
      </x:c>
      <x:c r="C7" s="158"/>
      <x:c r="D7" s="158"/>
      <x:c r="E7" s="158"/>
      <x:c r="F7" s="158"/>
      <x:c r="G7" s="158"/>
      <x:c r="H7" s="158"/>
    </x:row>
    <x:row r="8" ht="15" hidden="0" customHeight="1">
      <x:c r="A8" s="165" t="str">
        <x:v>Selected equation</x:v>
      </x:c>
      <x:c r="B8" s="166" t="str">
        <x:v>Vd = 2 × I × Rkm,T × L / 1000 for a two-conductor DC circuit.</x:v>
      </x:c>
      <x:c r="C8" s="158"/>
      <x:c r="D8" s="158"/>
      <x:c r="E8" s="158"/>
      <x:c r="F8" s="158"/>
      <x:c r="G8" s="158"/>
      <x:c r="H8" s="158"/>
    </x:row>
    <x:row r="9" ht="26.399999618530273" hidden="0" customHeight="1">
      <x:c r="A9" s="165" t="str">
        <x:v>Why Equation 2</x:v>
      </x:c>
      <x:c r="B9" s="166" t="str">
        <x:v>It uses the cable/conductor resistance per km. This captures real conductor construction better than nominal area and bulk resistivity alone.</x:v>
      </x:c>
      <x:c r="C9" s="158"/>
      <x:c r="D9" s="158"/>
      <x:c r="E9" s="158"/>
      <x:c r="F9" s="158"/>
      <x:c r="G9" s="158"/>
      <x:c r="H9" s="158"/>
    </x:row>
    <x:row r="10" ht="15" hidden="0" customHeight="1">
      <x:c r="A10" s="165" t="str">
        <x:v>Fallback equation</x:v>
      </x:c>
      <x:c r="B10" s="166" t="str">
        <x:v>Vd = 2 × ρ × L × I / A may be used only when a verified Rkm value is unavailable.</x:v>
      </x:c>
      <x:c r="C10" s="158"/>
      <x:c r="D10" s="158"/>
      <x:c r="E10" s="158"/>
      <x:c r="F10" s="158"/>
      <x:c r="G10" s="158"/>
      <x:c r="H10" s="158"/>
    </x:row>
    <x:row r="11" ht="15" hidden="0" customHeight="1">
      <x:c r="A11" s="165" t="str">
        <x:v>Temperature</x:v>
      </x:c>
      <x:c r="B11" s="166" t="str">
        <x:v>Rkm,T = Rkm,20 × [1 + α × (T − 20)]. Default α for copper is 0.00393/°C; the operating temperature is editable.</x:v>
      </x:c>
      <x:c r="C11" s="158"/>
      <x:c r="D11" s="158"/>
      <x:c r="E11" s="158"/>
      <x:c r="F11" s="158"/>
      <x:c r="G11" s="158"/>
      <x:c r="H11" s="158"/>
    </x:row>
    <x:row r="12" ht="15" hidden="0" customHeight="1">
      <x:c r="A12" s="165" t="str">
        <x:v>Selection rule</x:v>
      </x:c>
      <x:c r="B12" s="166" t="str">
        <x:v>Choose the smallest cable that passes BOTH voltage-drop and corrected-ampacity checks.</x:v>
      </x:c>
      <x:c r="C12" s="158"/>
      <x:c r="D12" s="158"/>
      <x:c r="E12" s="158"/>
      <x:c r="F12" s="158"/>
      <x:c r="G12" s="158"/>
      <x:c r="H12" s="158"/>
    </x:row>
    <x:row r="13" ht="15" hidden="0" customHeight="1">
      <x:c r="A13" s="165" t="str">
        <x:v>Target</x:v>
      </x:c>
      <x:c r="B13" s="166" t="str">
        <x:v>Default maximum voltage drop is 3.0 V, editable on the Cable Selector sheet.</x:v>
      </x:c>
      <x:c r="C13" s="158"/>
      <x:c r="D13" s="158"/>
      <x:c r="E13" s="158"/>
      <x:c r="F13" s="158"/>
      <x:c r="G13" s="158"/>
      <x:c r="H13" s="158"/>
    </x:row>
    <x:row r="14" ht="15" hidden="0" customHeight="1">
      <x:c r="A14" s="165" t="str">
        <x:v>Length meaning</x:v>
      </x:c>
      <x:c r="B14" s="166" t="str">
        <x:v>One-way route length. The factor 2 accounts for outgoing and return conductors.</x:v>
      </x:c>
      <x:c r="C14" s="158"/>
      <x:c r="D14" s="158"/>
      <x:c r="E14" s="158"/>
      <x:c r="F14" s="158"/>
      <x:c r="G14" s="158"/>
      <x:c r="H14" s="158"/>
    </x:row>
    <x:row r="15" ht="26.399999618530273" hidden="0" customHeight="1">
      <x:c r="A15" s="167" t="str">
        <x:v>Approval warning</x:v>
      </x:c>
      <x:c r="B15" s="168" t="str">
        <x:v>Final cable ampacity, grouping, installation method, protective device coordination, short-circuit withstand and local code compliance require review by a qualified electrical engineer.</x:v>
      </x:c>
      <x:c r="C15" s="158"/>
      <x:c r="D15" s="158"/>
      <x:c r="E15" s="158"/>
      <x:c r="F15" s="158"/>
      <x:c r="G15" s="158"/>
      <x:c r="H15" s="158"/>
    </x:row>
    <x:row r="16" ht="15" hidden="0" customHeight="1">
      <x:c r="A16" s="158"/>
      <x:c r="B16" s="158"/>
      <x:c r="C16" s="158"/>
      <x:c r="D16" s="158"/>
      <x:c r="E16" s="158"/>
      <x:c r="F16" s="158"/>
      <x:c r="G16" s="158"/>
      <x:c r="H16" s="158"/>
    </x:row>
    <x:row r="17" ht="15" hidden="0" customHeight="1">
      <x:c r="A17" s="12" t="str">
        <x:v>Source</x:v>
      </x:c>
      <x:c r="B17" s="12" t="str">
        <x:v>URL / provenance</x:v>
      </x:c>
      <x:c r="C17" s="158"/>
      <x:c r="D17" s="158"/>
      <x:c r="E17" s="158"/>
      <x:c r="F17" s="158"/>
      <x:c r="G17" s="158"/>
      <x:c r="H17" s="158"/>
    </x:row>
    <x:row r="18" ht="15" hidden="0" customHeight="1">
      <x:c r="A18" s="169" t="str">
        <x:v>Photographed reference table</x:v>
      </x:c>
      <x:c r="B18" s="170" t="str">
        <x:v>User attachment: DC Power Cable Length &amp; CSA Selection table; voltage drop shown as 1.5 V.</x:v>
      </x:c>
      <x:c r="C18" s="158"/>
      <x:c r="D18" s="158"/>
      <x:c r="E18" s="158"/>
      <x:c r="F18" s="158"/>
      <x:c r="G18" s="158"/>
      <x:c r="H18" s="158"/>
    </x:row>
    <x:row r="19" ht="15" hidden="0" customHeight="1">
      <x:c r="A19" s="171" t="str">
        <x:v>Colleague equation notes</x:v>
      </x:c>
      <x:c r="B19" s="172" t="str">
        <x:v>User attachment: handwritten equations dated/uploaded 2026-08-03.</x:v>
      </x:c>
      <x:c r="C19" s="158"/>
      <x:c r="D19" s="158"/>
      <x:c r="E19" s="158"/>
      <x:c r="F19" s="158"/>
      <x:c r="G19" s="158"/>
      <x:c r="H19" s="158"/>
    </x:row>
    <x:row r="20" ht="15" hidden="0" customHeight="1">
      <x:c r="A20" s="171" t="str">
        <x:v>IEC 60228 resistance reference</x:v>
      </x:c>
      <x:c r="B20" s="172" t="str">
        <x:v>https://www.nexans.be/en/dam/jcr:efe5d9a2-f346-4047-87b4-99d1e319d768/IEC60228_ENG.pdf</x:v>
      </x:c>
      <x:c r="C20" s="158"/>
      <x:c r="D20" s="158"/>
      <x:c r="E20" s="158"/>
      <x:c r="F20" s="158"/>
      <x:c r="G20" s="158"/>
      <x:c r="H20" s="158"/>
    </x:row>
    <x:row r="21" ht="15" hidden="0" customHeight="1">
      <x:c r="A21" s="173" t="str">
        <x:v>Manufacturer examples</x:v>
      </x:c>
      <x:c r="B21" s="174" t="str">
        <x:v>https://latrivenetacavi.nexans.com/en/products/industrial-and-logistics/industrial-Eca-class/H07Z-R38477.html</x:v>
      </x:c>
      <x:c r="C21" s="158"/>
      <x:c r="D21" s="158"/>
      <x:c r="E21" s="158"/>
      <x:c r="F21" s="158"/>
      <x:c r="G21" s="158"/>
      <x:c r="H21" s="158"/>
    </x:row>
  </x:sheetData>
  <x:mergeCells>
    <x:mergeCell ref="A1:H2"/>
    <x:mergeCell ref="A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4" hidden="0" customWidth="1"/>
    <x:col min="4" max="4" width="38" hidden="0" customWidth="1"/>
    <x:col min="5" max="5" width="24" hidden="0" customWidth="1"/>
    <x:col min="6" max="6" width="5" hidden="0" customWidth="1"/>
  </x:cols>
  <x:sheetData>
    <x:row r="1" ht="30" customHeight="1">
      <x:c r="A1" s="3" t="str">
        <x:v>Automatic DC Cable Selector</x:v>
      </x:c>
      <x:c r="B1" s="3" t="str">
        <x:v>Automatic DC Cable Selector</x:v>
      </x:c>
      <x:c r="C1" s="3" t="str">
        <x:v>Automatic DC Cable Selector</x:v>
      </x:c>
      <x:c r="D1" s="3" t="str">
        <x:v>Automatic DC Cable Selector</x:v>
      </x:c>
      <x:c r="E1" s="3" t="str">
        <x:v>Automatic DC Cable Selector</x:v>
      </x:c>
      <x:c r="F1" s="3" t="str">
        <x:v>Automatic DC Cable Selector</x:v>
      </x:c>
    </x:row>
    <x:row r="2" ht="30" customHeight="1">
      <x:c r="A2" s="3" t="str">
        <x:v>Automatic DC Cable Selector</x:v>
      </x:c>
      <x:c r="B2" s="3" t="str">
        <x:v>Automatic DC Cable Selector</x:v>
      </x:c>
      <x:c r="C2" s="3" t="str">
        <x:v>Automatic DC Cable Selector</x:v>
      </x:c>
      <x:c r="D2" s="3" t="str">
        <x:v>Automatic DC Cable Selector</x:v>
      </x:c>
      <x:c r="E2" s="3" t="str">
        <x:v>Automatic DC Cable Selector</x:v>
      </x:c>
      <x:c r="F2" s="3" t="str">
        <x:v>Automatic DC Cable Selector</x:v>
      </x:c>
    </x:row>
    <x:row r="3" ht="15" hidden="0" customHeight="1">
      <x:c r="A3" s="158"/>
      <x:c r="B3" s="158"/>
      <x:c r="C3" s="158"/>
      <x:c r="D3" s="158"/>
      <x:c r="E3" s="158"/>
      <x:c r="F3" s="158"/>
    </x:row>
    <x:row r="4" ht="15" hidden="0" customHeight="1">
      <x:c r="A4" s="12" t="str">
        <x:v>Design input</x:v>
      </x:c>
      <x:c r="B4" s="12" t="str">
        <x:v>Value</x:v>
      </x:c>
      <x:c r="C4" s="158"/>
      <x:c r="D4" s="12" t="str">
        <x:v>Selected result</x:v>
      </x:c>
      <x:c r="E4" s="12" t="str">
        <x:v>Calculated value</x:v>
      </x:c>
      <x:c r="F4" s="158"/>
    </x:row>
    <x:row r="5" ht="15" hidden="0" customHeight="1">
      <x:c r="A5" s="197" t="str">
        <x:v>One-way length (m)</x:v>
      </x:c>
      <x:c r="B5" s="198" t="n">
        <x:v>100</x:v>
      </x:c>
      <x:c r="C5" s="158"/>
      <x:c r="D5" s="197" t="str">
        <x:v>Recommended cable (mm²)</x:v>
      </x:c>
      <x:c r="E5" s="199" t="n">
        <x:f>IFERROR(INDEX('Candidate Check'!$A$5:$A$16,MATCH("PASS",'Candidate Check'!$L$5:$L$16,0)),"No listed cable passes")</x:f>
        <x:v>50</x:v>
      </x:c>
      <x:c r="F5" s="158"/>
    </x:row>
    <x:row r="6" ht="15" hidden="0" customHeight="1">
      <x:c r="A6" s="200" t="str">
        <x:v>Load current (A)</x:v>
      </x:c>
      <x:c r="B6" s="201" t="n">
        <x:v>24</x:v>
      </x:c>
      <x:c r="C6" s="158"/>
      <x:c r="D6" s="200" t="str">
        <x:v>Calculated voltage drop (V)</x:v>
      </x:c>
      <x:c r="E6" s="202" t="n">
        <x:f>IFERROR(INDEX('Candidate Check'!$I$5:$I$16,MATCH("PASS",'Candidate Check'!$L$5:$L$16,0)),"")</x:f>
        <x:v>2.2226184</x:v>
      </x:c>
      <x:c r="F6" s="158"/>
    </x:row>
    <x:row r="7" ht="15" hidden="0" customHeight="1">
      <x:c r="A7" s="200" t="str">
        <x:v>Protective device rating (A, 0 = ignore)</x:v>
      </x:c>
      <x:c r="B7" s="201" t="n">
        <x:v>0</x:v>
      </x:c>
      <x:c r="C7" s="158"/>
      <x:c r="D7" s="200" t="str">
        <x:v>Corrected ampacity (A)</x:v>
      </x:c>
      <x:c r="E7" s="202" t="n">
        <x:f>IFERROR(INDEX('Candidate Check'!$G$5:$G$16,MATCH("PASS",'Candidate Check'!$L$5:$L$16,0)),"")</x:f>
        <x:v>176</x:v>
      </x:c>
      <x:c r="F7" s="158"/>
    </x:row>
    <x:row r="8" ht="15" hidden="0" customHeight="1">
      <x:c r="A8" s="200" t="str">
        <x:v>Maximum voltage drop (V)</x:v>
      </x:c>
      <x:c r="B8" s="201" t="n">
        <x:v>3</x:v>
      </x:c>
      <x:c r="C8" s="158"/>
      <x:c r="D8" s="200" t="str">
        <x:v>Resistance at design temp (Ω/km)</x:v>
      </x:c>
      <x:c r="E8" s="202" t="n">
        <x:f>IFERROR(INDEX('Candidate Check'!$H$5:$H$16,MATCH("PASS",'Candidate Check'!$L$5:$L$16,0)),"")</x:f>
        <x:v>0.4630455</x:v>
      </x:c>
      <x:c r="F8" s="158"/>
    </x:row>
    <x:row r="9" ht="15" hidden="0" customHeight="1">
      <x:c r="A9" s="200" t="str">
        <x:v>Ambient temperature (°C)</x:v>
      </x:c>
      <x:c r="B9" s="201" t="n">
        <x:v>30</x:v>
      </x:c>
      <x:c r="C9" s="158"/>
      <x:c r="D9" s="200" t="str">
        <x:v>Maximum permitted length (m)</x:v>
      </x:c>
      <x:c r="E9" s="202" t="n">
        <x:f>IFERROR(INDEX('Candidate Check'!$M$5:$M$16,MATCH("PASS",'Candidate Check'!$L$5:$L$16,0)),"")</x:f>
        <x:v>134.97593649004256</x:v>
      </x:c>
      <x:c r="F9" s="158"/>
    </x:row>
    <x:row r="10" ht="15" hidden="0" customHeight="1">
      <x:c r="A10" s="200" t="str">
        <x:v>Loaded circuits grouped</x:v>
      </x:c>
      <x:c r="B10" s="201" t="n">
        <x:v>1</x:v>
      </x:c>
      <x:c r="C10" s="158"/>
      <x:c r="D10" s="200" t="str">
        <x:v>Voltage-drop status</x:v>
      </x:c>
      <x:c r="E10" s="203" t="str">
        <x:f>IF(E5="No listed cable passes","FAIL","PASS")</x:f>
        <x:v>PASS</x:v>
      </x:c>
      <x:c r="F10" s="158"/>
    </x:row>
    <x:row r="11" ht="15" hidden="0" customHeight="1">
      <x:c r="A11" s="200" t="str">
        <x:v>Installation method</x:v>
      </x:c>
      <x:c r="B11" s="204" t="str">
        <x:v>Cable Tray</x:v>
      </x:c>
      <x:c r="C11" s="158"/>
      <x:c r="D11" s="200" t="str">
        <x:v>Ampacity status</x:v>
      </x:c>
      <x:c r="E11" s="203" t="str">
        <x:f>IF(E5="No listed cable passes","FAIL","PASS")</x:f>
        <x:v>PASS</x:v>
      </x:c>
      <x:c r="F11" s="158"/>
    </x:row>
    <x:row r="12" ht="15" hidden="0" customHeight="1">
      <x:c r="A12" s="200" t="str">
        <x:v>Conductor operating temperature (°C)</x:v>
      </x:c>
      <x:c r="B12" s="205" t="n">
        <x:v>70</x:v>
      </x:c>
      <x:c r="C12" s="158"/>
      <x:c r="D12" s="206" t="str">
        <x:v>Overall status</x:v>
      </x:c>
      <x:c r="E12" s="207" t="str">
        <x:f>IF(E5="No listed cable passes","REVIEW / NO MATCH","PASS")</x:f>
        <x:v>PASS</x:v>
      </x:c>
      <x:c r="F12" s="158"/>
    </x:row>
    <x:row r="13" ht="15" hidden="0" customHeight="1">
      <x:c r="A13" s="206" t="str">
        <x:v>Copper α (/°C)</x:v>
      </x:c>
      <x:c r="B13" s="208" t="n">
        <x:v>0.00393</x:v>
      </x:c>
      <x:c r="C13" s="158"/>
      <x:c r="D13" s="158"/>
      <x:c r="E13" s="158"/>
      <x:c r="F13" s="158"/>
    </x:row>
    <x:row r="14" ht="15" hidden="0" customHeight="1">
      <x:c r="A14" s="158"/>
      <x:c r="B14" s="158"/>
      <x:c r="C14" s="158"/>
      <x:c r="D14" s="158"/>
      <x:c r="E14" s="158"/>
      <x:c r="F14" s="158"/>
    </x:row>
    <x:row r="15" ht="15" hidden="0" customHeight="1">
      <x:c r="A15" s="158"/>
      <x:c r="B15" s="158"/>
      <x:c r="C15" s="158"/>
      <x:c r="D15" s="158"/>
      <x:c r="E15" s="158"/>
      <x:c r="F15" s="158"/>
    </x:row>
    <x:row r="16" ht="15" hidden="0" customHeight="1">
      <x:c r="A16" s="209" t="str">
        <x:v>Interpretation and safety notes</x:v>
      </x:c>
      <x:c r="B16" s="210"/>
      <x:c r="C16" s="210"/>
      <x:c r="D16" s="210"/>
      <x:c r="E16" s="210"/>
      <x:c r="F16" s="211"/>
    </x:row>
    <x:row r="17" ht="15" hidden="0" customHeight="1">
      <x:c r="A17" s="212" t="str">
        <x:v>The recommendation is the smallest listed conductor that meets the entered voltage-drop limit and corrected current capacity.</x:v>
      </x:c>
      <x:c r="B17" s="213"/>
      <x:c r="C17" s="213"/>
      <x:c r="D17" s="213"/>
      <x:c r="E17" s="213"/>
      <x:c r="F17" s="214"/>
    </x:row>
    <x:row r="18" ht="15" hidden="0" customHeight="1">
      <x:c r="A18" s="215" t="str">
        <x:v>If a protective-device rating is entered, the corrected cable ampacity must also be at least that rating.</x:v>
      </x:c>
      <x:c r="B18" s="216"/>
      <x:c r="C18" s="216"/>
      <x:c r="D18" s="216"/>
      <x:c r="E18" s="216"/>
      <x:c r="F18" s="217"/>
    </x:row>
    <x:row r="19" ht="26.399999618530273" hidden="0" customHeight="1">
      <x:c r="A19" s="215" t="str">
        <x:v>The ampacity values and correction factors in the colleague workbook are unverified generic references; replace them with the approved project/manufacturer values before issue for construction.</x:v>
      </x:c>
      <x:c r="B19" s="216"/>
      <x:c r="C19" s="216"/>
      <x:c r="D19" s="216"/>
      <x:c r="E19" s="216"/>
      <x:c r="F19" s="217"/>
    </x:row>
    <x:row r="20" ht="15" hidden="0" customHeight="1">
      <x:c r="A20" s="215" t="str">
        <x:v>A 3 V allowance doubles the theoretical maximum route length compared with 1.5 V for the same cable/current/temperature, but ampacity remains unchanged.</x:v>
      </x:c>
      <x:c r="B20" s="216"/>
      <x:c r="C20" s="216"/>
      <x:c r="D20" s="216"/>
      <x:c r="E20" s="216"/>
      <x:c r="F20" s="217"/>
    </x:row>
    <x:row r="21" ht="15" hidden="0" customHeight="1">
      <x:c r="A21" s="218" t="str">
        <x:v>This workbook does not perform short-circuit, fault-loop, selectivity, termination, harmonic or mechanical checks.</x:v>
      </x:c>
      <x:c r="B21" s="219"/>
      <x:c r="C21" s="219"/>
      <x:c r="D21" s="219"/>
      <x:c r="E21" s="219"/>
      <x:c r="F21" s="220"/>
    </x:row>
  </x:sheetData>
  <x:mergeCells>
    <x:mergeCell ref="A1:F2"/>
    <x:mergeCell ref="A16:F16"/>
    <x:mergeCell ref="A17:F17"/>
    <x:mergeCell ref="A18:F18"/>
    <x:mergeCell ref="A19:F19"/>
    <x:mergeCell ref="A20:F20"/>
    <x:mergeCell ref="A21:F21"/>
  </x:mergeCells>
  <x:dataValidations count="3">
    <x:dataValidation type="list" sqref="B9">
      <x:formula1>'Temperature_Factors'!$A$2:$A$10</x:formula1>
    </x:dataValidation>
    <x:dataValidation type="list" sqref="B10">
      <x:formula1>'Grouping_Factors'!$A$2:$A$10</x:formula1>
    </x:dataValidation>
    <x:dataValidation type="list" sqref="B11">
      <x:formula1>'Installation_Methods'!$A$2:$A$6</x:formula1>
    </x:dataValidation>
  </x:dataValidations>
  <x:pageMargins left="0.7" right="0.7" top="0.75" bottom="0.75" header="0.3" footer="0.3"/>
  <x:legacyDrawing xmlns:r="http://schemas.openxmlformats.org/officeDocument/2006/relationships" r:id="R5341f50955eb4e86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4" hidden="0" customWidth="1"/>
  </x:cols>
  <x:sheetData>
    <x:row r="1" ht="30" customHeight="1">
      <x:c r="A1" s="3" t="str">
        <x:v>Candidate Cable Engineering Checks</x:v>
      </x:c>
      <x:c r="B1" s="3" t="str">
        <x:v>Candidate Cable Engineering Checks</x:v>
      </x:c>
      <x:c r="C1" s="3" t="str">
        <x:v>Candidate Cable Engineering Checks</x:v>
      </x:c>
      <x:c r="D1" s="3" t="str">
        <x:v>Candidate Cable Engineering Checks</x:v>
      </x:c>
      <x:c r="E1" s="3" t="str">
        <x:v>Candidate Cable Engineering Checks</x:v>
      </x:c>
      <x:c r="F1" s="3" t="str">
        <x:v>Candidate Cable Engineering Checks</x:v>
      </x:c>
      <x:c r="G1" s="3" t="str">
        <x:v>Candidate Cable Engineering Checks</x:v>
      </x:c>
      <x:c r="H1" s="3" t="str">
        <x:v>Candidate Cable Engineering Checks</x:v>
      </x:c>
      <x:c r="I1" s="3" t="str">
        <x:v>Candidate Cable Engineering Checks</x:v>
      </x:c>
      <x:c r="J1" s="3" t="str">
        <x:v>Candidate Cable Engineering Checks</x:v>
      </x:c>
      <x:c r="K1" s="3" t="str">
        <x:v>Candidate Cable Engineering Checks</x:v>
      </x:c>
      <x:c r="L1" s="3" t="str">
        <x:v>Candidate Cable Engineering Checks</x:v>
      </x:c>
      <x:c r="M1" s="3" t="str">
        <x:v>Candidate Cable Engineering Checks</x:v>
      </x:c>
      <x:c r="N1" s="3" t="str">
        <x:v>Candidate Cable Engineering Checks</x:v>
      </x:c>
    </x:row>
    <x:row r="2" ht="30" customHeight="1">
      <x:c r="A2" s="3" t="str">
        <x:v>Candidate Cable Engineering Checks</x:v>
      </x:c>
      <x:c r="B2" s="3" t="str">
        <x:v>Candidate Cable Engineering Checks</x:v>
      </x:c>
      <x:c r="C2" s="3" t="str">
        <x:v>Candidate Cable Engineering Checks</x:v>
      </x:c>
      <x:c r="D2" s="3" t="str">
        <x:v>Candidate Cable Engineering Checks</x:v>
      </x:c>
      <x:c r="E2" s="3" t="str">
        <x:v>Candidate Cable Engineering Checks</x:v>
      </x:c>
      <x:c r="F2" s="3" t="str">
        <x:v>Candidate Cable Engineering Checks</x:v>
      </x:c>
      <x:c r="G2" s="3" t="str">
        <x:v>Candidate Cable Engineering Checks</x:v>
      </x:c>
      <x:c r="H2" s="3" t="str">
        <x:v>Candidate Cable Engineering Checks</x:v>
      </x:c>
      <x:c r="I2" s="3" t="str">
        <x:v>Candidate Cable Engineering Checks</x:v>
      </x:c>
      <x:c r="J2" s="3" t="str">
        <x:v>Candidate Cable Engineering Checks</x:v>
      </x:c>
      <x:c r="K2" s="3" t="str">
        <x:v>Candidate Cable Engineering Checks</x:v>
      </x:c>
      <x:c r="L2" s="3" t="str">
        <x:v>Candidate Cable Engineering Checks</x:v>
      </x:c>
      <x:c r="M2" s="3" t="str">
        <x:v>Candidate Cable Engineering Checks</x:v>
      </x:c>
      <x:c r="N2" s="3" t="str">
        <x:v>Candidate Cable Engineering Checks</x:v>
      </x:c>
    </x:row>
    <x:row r="3" ht="15" hidden="0" customHeight="1">
      <x:c r="A3" s="158"/>
      <x:c r="B3" s="158"/>
      <x:c r="C3" s="158"/>
      <x:c r="D3" s="158"/>
      <x:c r="E3" s="158"/>
      <x:c r="F3" s="158"/>
      <x:c r="G3" s="158"/>
      <x:c r="H3" s="158"/>
      <x:c r="I3" s="158"/>
      <x:c r="J3" s="158"/>
      <x:c r="K3" s="158"/>
      <x:c r="L3" s="158"/>
      <x:c r="M3" s="158"/>
      <x:c r="N3" s="158"/>
    </x:row>
    <x:row r="4" ht="26.399999618530273" hidden="0" customHeight="1">
      <x:c r="A4" s="12" t="str">
        <x:v>Size (mm²)</x:v>
      </x:c>
      <x:c r="B4" s="12" t="str">
        <x:v>R20 (Ω/km)</x:v>
      </x:c>
      <x:c r="C4" s="12" t="str">
        <x:v>Base ampacity (A)</x:v>
      </x:c>
      <x:c r="D4" s="12" t="str">
        <x:v>Temp factor</x:v>
      </x:c>
      <x:c r="E4" s="12" t="str">
        <x:v>Grouping factor</x:v>
      </x:c>
      <x:c r="F4" s="12" t="str">
        <x:v>Installation factor</x:v>
      </x:c>
      <x:c r="G4" s="12" t="str">
        <x:v>Corrected ampacity (A)</x:v>
      </x:c>
      <x:c r="H4" s="12" t="str">
        <x:v>RT (Ω/km)</x:v>
      </x:c>
      <x:c r="I4" s="12" t="str">
        <x:v>V-drop (V)</x:v>
      </x:c>
      <x:c r="J4" s="12" t="str">
        <x:v>V-drop check</x:v>
      </x:c>
      <x:c r="K4" s="12" t="str">
        <x:v>Ampacity check</x:v>
      </x:c>
      <x:c r="L4" s="12" t="str">
        <x:v>Overall</x:v>
      </x:c>
      <x:c r="M4" s="12" t="str">
        <x:v>Max length (m)</x:v>
      </x:c>
      <x:c r="N4" s="12" t="str">
        <x:v>Reason</x:v>
      </x:c>
    </x:row>
    <x:row r="5" ht="15" hidden="0" customHeight="1">
      <x:c r="A5" s="233" t="n">
        <x:f>'Copper_LSZH_Cables'!A2</x:f>
        <x:v>1.5</x:v>
      </x:c>
      <x:c r="B5" s="234" t="n">
        <x:f>'Copper_LSZH_Cables'!B2</x:f>
        <x:v>12.1</x:v>
      </x:c>
      <x:c r="C5" s="234" t="n">
        <x:f>'Copper_LSZH_Cables'!C2</x:f>
        <x:v>20</x:v>
      </x:c>
      <x:c r="D5" s="234" t="n">
        <x:f>INDEX('Temperature_Factors'!$B$2:$B$10,MATCH('Cable Selector'!$B$9,'Temperature_Factors'!$A$2:$A$10,0))</x:f>
        <x:v>1</x:v>
      </x:c>
      <x:c r="E5" s="234" t="n">
        <x:f>INDEX('Grouping_Factors'!$B$2:$B$10,MATCH('Cable Selector'!$B$10,'Grouping_Factors'!$A$2:$A$10,0))</x:f>
        <x:v>1</x:v>
      </x:c>
      <x:c r="F5" s="234" t="n">
        <x:f>INDEX('Installation_Methods'!$B$2:$B$6,MATCH('Cable Selector'!$B$11,'Installation_Methods'!$A$2:$A$6,0))</x:f>
        <x:v>1</x:v>
      </x:c>
      <x:c r="G5" s="234" t="n">
        <x:f>C5*D5*E5*F5</x:f>
        <x:v>20</x:v>
      </x:c>
      <x:c r="H5" s="234" t="n">
        <x:f>B5*(1+'Cable Selector'!$B$13*('Cable Selector'!$B$12-20))</x:f>
        <x:v>14.477649999999999</x:v>
      </x:c>
      <x:c r="I5" s="234" t="n">
        <x:f>2*'Cable Selector'!$B$6*H5*'Cable Selector'!$B$5/1000</x:f>
        <x:v>69.49272</x:v>
      </x:c>
      <x:c r="J5" s="235" t="str">
        <x:f>IF(I5&lt;='Cable Selector'!$B$8,"PASS","FAIL")</x:f>
        <x:v>FAIL</x:v>
      </x:c>
      <x:c r="K5" s="235" t="str">
        <x:f>IF(G5&gt;=MAX('Cable Selector'!$B$6,'Cable Selector'!$B$7),"PASS","FAIL")</x:f>
        <x:v>FAIL</x:v>
      </x:c>
      <x:c r="L5" s="235" t="str">
        <x:f>IF(AND(J5="PASS",K5="PASS"),"PASS","FAIL")</x:f>
        <x:v>FAIL</x:v>
      </x:c>
      <x:c r="M5" s="234" t="n">
        <x:f>'Cable Selector'!$B$8*1000/(2*'Cable Selector'!$B$6*H5)</x:f>
        <x:v>4.31699896046665</x:v>
      </x:c>
      <x:c r="N5" s="236" t="str">
        <x:f>IF(L5="PASS","Eligible",IF(AND(J5="FAIL",K5="FAIL"),"Voltage drop and ampacity fail",IF(J5="FAIL","Voltage drop fails","Ampacity fails")))</x:f>
        <x:v>Voltage drop and ampacity fail</x:v>
      </x:c>
    </x:row>
    <x:row r="6" ht="15" hidden="0" customHeight="1">
      <x:c r="A6" s="237" t="n">
        <x:f>'Copper_LSZH_Cables'!A3</x:f>
        <x:v>2.5</x:v>
      </x:c>
      <x:c r="B6" s="238" t="n">
        <x:f>'Copper_LSZH_Cables'!B3</x:f>
        <x:v>7.41</x:v>
      </x:c>
      <x:c r="C6" s="238" t="n">
        <x:f>'Copper_LSZH_Cables'!C3</x:f>
        <x:v>27</x:v>
      </x:c>
      <x:c r="D6" s="238" t="n">
        <x:f>INDEX('Temperature_Factors'!$B$2:$B$10,MATCH('Cable Selector'!$B$9,'Temperature_Factors'!$A$2:$A$10,0))</x:f>
        <x:v>1</x:v>
      </x:c>
      <x:c r="E6" s="238" t="n">
        <x:f>INDEX('Grouping_Factors'!$B$2:$B$10,MATCH('Cable Selector'!$B$10,'Grouping_Factors'!$A$2:$A$10,0))</x:f>
        <x:v>1</x:v>
      </x:c>
      <x:c r="F6" s="238" t="n">
        <x:f>INDEX('Installation_Methods'!$B$2:$B$6,MATCH('Cable Selector'!$B$11,'Installation_Methods'!$A$2:$A$6,0))</x:f>
        <x:v>1</x:v>
      </x:c>
      <x:c r="G6" s="238" t="n">
        <x:f>C6*D6*E6*F6</x:f>
        <x:v>27</x:v>
      </x:c>
      <x:c r="H6" s="238" t="n">
        <x:f>B6*(1+'Cable Selector'!$B$13*('Cable Selector'!$B$12-20))</x:f>
        <x:v>8.866064999999999</x:v>
      </x:c>
      <x:c r="I6" s="238" t="n">
        <x:f>2*'Cable Selector'!$B$6*H6*'Cable Selector'!$B$5/1000</x:f>
        <x:v>42.557112</x:v>
      </x:c>
      <x:c r="J6" s="239" t="str">
        <x:f>IF(I6&lt;='Cable Selector'!$B$8,"PASS","FAIL")</x:f>
        <x:v>FAIL</x:v>
      </x:c>
      <x:c r="K6" s="239" t="str">
        <x:f>IF(G6&gt;=MAX('Cable Selector'!$B$6,'Cable Selector'!$B$7),"PASS","FAIL")</x:f>
        <x:v>PASS</x:v>
      </x:c>
      <x:c r="L6" s="239" t="str">
        <x:f>IF(AND(J6="PASS",K6="PASS"),"PASS","FAIL")</x:f>
        <x:v>FAIL</x:v>
      </x:c>
      <x:c r="M6" s="238" t="n">
        <x:f>'Cable Selector'!$B$8*1000/(2*'Cable Selector'!$B$6*H6)</x:f>
        <x:v>7.049350529237041</x:v>
      </x:c>
      <x:c r="N6" s="240" t="str">
        <x:f>IF(L6="PASS","Eligible",IF(AND(J6="FAIL",K6="FAIL"),"Voltage drop and ampacity fail",IF(J6="FAIL","Voltage drop fails","Ampacity fails")))</x:f>
        <x:v>Voltage drop fails</x:v>
      </x:c>
    </x:row>
    <x:row r="7" ht="15" hidden="0" customHeight="1">
      <x:c r="A7" s="237" t="n">
        <x:f>'Copper_LSZH_Cables'!A4</x:f>
        <x:v>4</x:v>
      </x:c>
      <x:c r="B7" s="238" t="n">
        <x:f>'Copper_LSZH_Cables'!B4</x:f>
        <x:v>4.61</x:v>
      </x:c>
      <x:c r="C7" s="238" t="n">
        <x:f>'Copper_LSZH_Cables'!C4</x:f>
        <x:v>37</x:v>
      </x:c>
      <x:c r="D7" s="238" t="n">
        <x:f>INDEX('Temperature_Factors'!$B$2:$B$10,MATCH('Cable Selector'!$B$9,'Temperature_Factors'!$A$2:$A$10,0))</x:f>
        <x:v>1</x:v>
      </x:c>
      <x:c r="E7" s="238" t="n">
        <x:f>INDEX('Grouping_Factors'!$B$2:$B$10,MATCH('Cable Selector'!$B$10,'Grouping_Factors'!$A$2:$A$10,0))</x:f>
        <x:v>1</x:v>
      </x:c>
      <x:c r="F7" s="238" t="n">
        <x:f>INDEX('Installation_Methods'!$B$2:$B$6,MATCH('Cable Selector'!$B$11,'Installation_Methods'!$A$2:$A$6,0))</x:f>
        <x:v>1</x:v>
      </x:c>
      <x:c r="G7" s="238" t="n">
        <x:f>C7*D7*E7*F7</x:f>
        <x:v>37</x:v>
      </x:c>
      <x:c r="H7" s="238" t="n">
        <x:f>B7*(1+'Cable Selector'!$B$13*('Cable Selector'!$B$12-20))</x:f>
        <x:v>5.515865</x:v>
      </x:c>
      <x:c r="I7" s="238" t="n">
        <x:f>2*'Cable Selector'!$B$6*H7*'Cable Selector'!$B$5/1000</x:f>
        <x:v>26.476152000000003</x:v>
      </x:c>
      <x:c r="J7" s="239" t="str">
        <x:f>IF(I7&lt;='Cable Selector'!$B$8,"PASS","FAIL")</x:f>
        <x:v>FAIL</x:v>
      </x:c>
      <x:c r="K7" s="239" t="str">
        <x:f>IF(G7&gt;=MAX('Cable Selector'!$B$6,'Cable Selector'!$B$7),"PASS","FAIL")</x:f>
        <x:v>PASS</x:v>
      </x:c>
      <x:c r="L7" s="239" t="str">
        <x:f>IF(AND(J7="PASS",K7="PASS"),"PASS","FAIL")</x:f>
        <x:v>FAIL</x:v>
      </x:c>
      <x:c r="M7" s="238" t="n">
        <x:f>'Cable Selector'!$B$8*1000/(2*'Cable Selector'!$B$6*H7)</x:f>
        <x:v>11.33095171836149</x:v>
      </x:c>
      <x:c r="N7" s="240" t="str">
        <x:f>IF(L7="PASS","Eligible",IF(AND(J7="FAIL",K7="FAIL"),"Voltage drop and ampacity fail",IF(J7="FAIL","Voltage drop fails","Ampacity fails")))</x:f>
        <x:v>Voltage drop fails</x:v>
      </x:c>
    </x:row>
    <x:row r="8" ht="15" hidden="0" customHeight="1">
      <x:c r="A8" s="237" t="n">
        <x:f>'Copper_LSZH_Cables'!A5</x:f>
        <x:v>6</x:v>
      </x:c>
      <x:c r="B8" s="238" t="n">
        <x:f>'Copper_LSZH_Cables'!B5</x:f>
        <x:v>3.08</x:v>
      </x:c>
      <x:c r="C8" s="238" t="n">
        <x:f>'Copper_LSZH_Cables'!C5</x:f>
        <x:v>47</x:v>
      </x:c>
      <x:c r="D8" s="238" t="n">
        <x:f>INDEX('Temperature_Factors'!$B$2:$B$10,MATCH('Cable Selector'!$B$9,'Temperature_Factors'!$A$2:$A$10,0))</x:f>
        <x:v>1</x:v>
      </x:c>
      <x:c r="E8" s="238" t="n">
        <x:f>INDEX('Grouping_Factors'!$B$2:$B$10,MATCH('Cable Selector'!$B$10,'Grouping_Factors'!$A$2:$A$10,0))</x:f>
        <x:v>1</x:v>
      </x:c>
      <x:c r="F8" s="238" t="n">
        <x:f>INDEX('Installation_Methods'!$B$2:$B$6,MATCH('Cable Selector'!$B$11,'Installation_Methods'!$A$2:$A$6,0))</x:f>
        <x:v>1</x:v>
      </x:c>
      <x:c r="G8" s="238" t="n">
        <x:f>C8*D8*E8*F8</x:f>
        <x:v>47</x:v>
      </x:c>
      <x:c r="H8" s="238" t="n">
        <x:f>B8*(1+'Cable Selector'!$B$13*('Cable Selector'!$B$12-20))</x:f>
        <x:v>3.6852199999999997</x:v>
      </x:c>
      <x:c r="I8" s="238" t="n">
        <x:f>2*'Cable Selector'!$B$6*H8*'Cable Selector'!$B$5/1000</x:f>
        <x:v>17.689056</x:v>
      </x:c>
      <x:c r="J8" s="239" t="str">
        <x:f>IF(I8&lt;='Cable Selector'!$B$8,"PASS","FAIL")</x:f>
        <x:v>FAIL</x:v>
      </x:c>
      <x:c r="K8" s="239" t="str">
        <x:f>IF(G8&gt;=MAX('Cable Selector'!$B$6,'Cable Selector'!$B$7),"PASS","FAIL")</x:f>
        <x:v>PASS</x:v>
      </x:c>
      <x:c r="L8" s="239" t="str">
        <x:f>IF(AND(J8="PASS",K8="PASS"),"PASS","FAIL")</x:f>
        <x:v>FAIL</x:v>
      </x:c>
      <x:c r="M8" s="238" t="n">
        <x:f>'Cable Selector'!$B$8*1000/(2*'Cable Selector'!$B$6*H8)</x:f>
        <x:v>16.95963877326184</x:v>
      </x:c>
      <x:c r="N8" s="240" t="str">
        <x:f>IF(L8="PASS","Eligible",IF(AND(J8="FAIL",K8="FAIL"),"Voltage drop and ampacity fail",IF(J8="FAIL","Voltage drop fails","Ampacity fails")))</x:f>
        <x:v>Voltage drop fails</x:v>
      </x:c>
    </x:row>
    <x:row r="9" ht="15" hidden="0" customHeight="1">
      <x:c r="A9" s="237" t="n">
        <x:f>'Copper_LSZH_Cables'!A6</x:f>
        <x:v>10</x:v>
      </x:c>
      <x:c r="B9" s="238" t="n">
        <x:f>'Copper_LSZH_Cables'!B6</x:f>
        <x:v>1.83</x:v>
      </x:c>
      <x:c r="C9" s="238" t="n">
        <x:f>'Copper_LSZH_Cables'!C6</x:f>
        <x:v>65</x:v>
      </x:c>
      <x:c r="D9" s="238" t="n">
        <x:f>INDEX('Temperature_Factors'!$B$2:$B$10,MATCH('Cable Selector'!$B$9,'Temperature_Factors'!$A$2:$A$10,0))</x:f>
        <x:v>1</x:v>
      </x:c>
      <x:c r="E9" s="238" t="n">
        <x:f>INDEX('Grouping_Factors'!$B$2:$B$10,MATCH('Cable Selector'!$B$10,'Grouping_Factors'!$A$2:$A$10,0))</x:f>
        <x:v>1</x:v>
      </x:c>
      <x:c r="F9" s="238" t="n">
        <x:f>INDEX('Installation_Methods'!$B$2:$B$6,MATCH('Cable Selector'!$B$11,'Installation_Methods'!$A$2:$A$6,0))</x:f>
        <x:v>1</x:v>
      </x:c>
      <x:c r="G9" s="238" t="n">
        <x:f>C9*D9*E9*F9</x:f>
        <x:v>65</x:v>
      </x:c>
      <x:c r="H9" s="238" t="n">
        <x:f>B9*(1+'Cable Selector'!$B$13*('Cable Selector'!$B$12-20))</x:f>
        <x:v>2.1895949999999997</x:v>
      </x:c>
      <x:c r="I9" s="238" t="n">
        <x:f>2*'Cable Selector'!$B$6*H9*'Cable Selector'!$B$5/1000</x:f>
        <x:v>10.510055999999999</x:v>
      </x:c>
      <x:c r="J9" s="239" t="str">
        <x:f>IF(I9&lt;='Cable Selector'!$B$8,"PASS","FAIL")</x:f>
        <x:v>FAIL</x:v>
      </x:c>
      <x:c r="K9" s="239" t="str">
        <x:f>IF(G9&gt;=MAX('Cable Selector'!$B$6,'Cable Selector'!$B$7),"PASS","FAIL")</x:f>
        <x:v>PASS</x:v>
      </x:c>
      <x:c r="L9" s="239" t="str">
        <x:f>IF(AND(J9="PASS",K9="PASS"),"PASS","FAIL")</x:f>
        <x:v>FAIL</x:v>
      </x:c>
      <x:c r="M9" s="238" t="n">
        <x:f>'Cable Selector'!$B$8*1000/(2*'Cable Selector'!$B$6*H9)</x:f>
        <x:v>28.54409148723851</x:v>
      </x:c>
      <x:c r="N9" s="240" t="str">
        <x:f>IF(L9="PASS","Eligible",IF(AND(J9="FAIL",K9="FAIL"),"Voltage drop and ampacity fail",IF(J9="FAIL","Voltage drop fails","Ampacity fails")))</x:f>
        <x:v>Voltage drop fails</x:v>
      </x:c>
    </x:row>
    <x:row r="10" ht="15" hidden="0" customHeight="1">
      <x:c r="A10" s="237" t="n">
        <x:f>'Copper_LSZH_Cables'!A7</x:f>
        <x:v>16</x:v>
      </x:c>
      <x:c r="B10" s="238" t="n">
        <x:f>'Copper_LSZH_Cables'!B7</x:f>
        <x:v>1.15</x:v>
      </x:c>
      <x:c r="C10" s="238" t="n">
        <x:f>'Copper_LSZH_Cables'!C7</x:f>
        <x:v>87</x:v>
      </x:c>
      <x:c r="D10" s="238" t="n">
        <x:f>INDEX('Temperature_Factors'!$B$2:$B$10,MATCH('Cable Selector'!$B$9,'Temperature_Factors'!$A$2:$A$10,0))</x:f>
        <x:v>1</x:v>
      </x:c>
      <x:c r="E10" s="238" t="n">
        <x:f>INDEX('Grouping_Factors'!$B$2:$B$10,MATCH('Cable Selector'!$B$10,'Grouping_Factors'!$A$2:$A$10,0))</x:f>
        <x:v>1</x:v>
      </x:c>
      <x:c r="F10" s="238" t="n">
        <x:f>INDEX('Installation_Methods'!$B$2:$B$6,MATCH('Cable Selector'!$B$11,'Installation_Methods'!$A$2:$A$6,0))</x:f>
        <x:v>1</x:v>
      </x:c>
      <x:c r="G10" s="238" t="n">
        <x:f>C10*D10*E10*F10</x:f>
        <x:v>87</x:v>
      </x:c>
      <x:c r="H10" s="238" t="n">
        <x:f>B10*(1+'Cable Selector'!$B$13*('Cable Selector'!$B$12-20))</x:f>
        <x:v>1.3759749999999997</x:v>
      </x:c>
      <x:c r="I10" s="238" t="n">
        <x:f>2*'Cable Selector'!$B$6*H10*'Cable Selector'!$B$5/1000</x:f>
        <x:v>6.604679999999999</x:v>
      </x:c>
      <x:c r="J10" s="239" t="str">
        <x:f>IF(I10&lt;='Cable Selector'!$B$8,"PASS","FAIL")</x:f>
        <x:v>FAIL</x:v>
      </x:c>
      <x:c r="K10" s="239" t="str">
        <x:f>IF(G10&gt;=MAX('Cable Selector'!$B$6,'Cable Selector'!$B$7),"PASS","FAIL")</x:f>
        <x:v>PASS</x:v>
      </x:c>
      <x:c r="L10" s="239" t="str">
        <x:f>IF(AND(J10="PASS",K10="PASS"),"PASS","FAIL")</x:f>
        <x:v>FAIL</x:v>
      </x:c>
      <x:c r="M10" s="238" t="n">
        <x:f>'Cable Selector'!$B$8*1000/(2*'Cable Selector'!$B$6*H10)</x:f>
        <x:v>45.42233688838824</x:v>
      </x:c>
      <x:c r="N10" s="240" t="str">
        <x:f>IF(L10="PASS","Eligible",IF(AND(J10="FAIL",K10="FAIL"),"Voltage drop and ampacity fail",IF(J10="FAIL","Voltage drop fails","Ampacity fails")))</x:f>
        <x:v>Voltage drop fails</x:v>
      </x:c>
    </x:row>
    <x:row r="11" ht="15" hidden="0" customHeight="1">
      <x:c r="A11" s="237" t="n">
        <x:f>'Copper_LSZH_Cables'!A8</x:f>
        <x:v>25</x:v>
      </x:c>
      <x:c r="B11" s="238" t="n">
        <x:f>'Copper_LSZH_Cables'!B8</x:f>
        <x:v>0.727</x:v>
      </x:c>
      <x:c r="C11" s="238" t="n">
        <x:f>'Copper_LSZH_Cables'!C8</x:f>
        <x:v>114</x:v>
      </x:c>
      <x:c r="D11" s="238" t="n">
        <x:f>INDEX('Temperature_Factors'!$B$2:$B$10,MATCH('Cable Selector'!$B$9,'Temperature_Factors'!$A$2:$A$10,0))</x:f>
        <x:v>1</x:v>
      </x:c>
      <x:c r="E11" s="238" t="n">
        <x:f>INDEX('Grouping_Factors'!$B$2:$B$10,MATCH('Cable Selector'!$B$10,'Grouping_Factors'!$A$2:$A$10,0))</x:f>
        <x:v>1</x:v>
      </x:c>
      <x:c r="F11" s="238" t="n">
        <x:f>INDEX('Installation_Methods'!$B$2:$B$6,MATCH('Cable Selector'!$B$11,'Installation_Methods'!$A$2:$A$6,0))</x:f>
        <x:v>1</x:v>
      </x:c>
      <x:c r="G11" s="238" t="n">
        <x:f>C11*D11*E11*F11</x:f>
        <x:v>114</x:v>
      </x:c>
      <x:c r="H11" s="238" t="n">
        <x:f>B11*(1+'Cable Selector'!$B$13*('Cable Selector'!$B$12-20))</x:f>
        <x:v>0.8698554999999999</x:v>
      </x:c>
      <x:c r="I11" s="238" t="n">
        <x:f>2*'Cable Selector'!$B$6*H11*'Cable Selector'!$B$5/1000</x:f>
        <x:v>4.175306399999999</x:v>
      </x:c>
      <x:c r="J11" s="239" t="str">
        <x:f>IF(I11&lt;='Cable Selector'!$B$8,"PASS","FAIL")</x:f>
        <x:v>FAIL</x:v>
      </x:c>
      <x:c r="K11" s="239" t="str">
        <x:f>IF(G11&gt;=MAX('Cable Selector'!$B$6,'Cable Selector'!$B$7),"PASS","FAIL")</x:f>
        <x:v>PASS</x:v>
      </x:c>
      <x:c r="L11" s="239" t="str">
        <x:f>IF(AND(J11="PASS",K11="PASS"),"PASS","FAIL")</x:f>
        <x:v>FAIL</x:v>
      </x:c>
      <x:c r="M11" s="238" t="n">
        <x:f>'Cable Selector'!$B$8*1000/(2*'Cable Selector'!$B$6*H11)</x:f>
        <x:v>71.85101433513958</x:v>
      </x:c>
      <x:c r="N11" s="240" t="str">
        <x:f>IF(L11="PASS","Eligible",IF(AND(J11="FAIL",K11="FAIL"),"Voltage drop and ampacity fail",IF(J11="FAIL","Voltage drop fails","Ampacity fails")))</x:f>
        <x:v>Voltage drop fails</x:v>
      </x:c>
    </x:row>
    <x:row r="12" ht="15" hidden="0" customHeight="1">
      <x:c r="A12" s="237" t="n">
        <x:f>'Copper_LSZH_Cables'!A9</x:f>
        <x:v>35</x:v>
      </x:c>
      <x:c r="B12" s="238" t="n">
        <x:f>'Copper_LSZH_Cables'!B9</x:f>
        <x:v>0.524</x:v>
      </x:c>
      <x:c r="C12" s="238" t="n">
        <x:f>'Copper_LSZH_Cables'!C9</x:f>
        <x:v>141</x:v>
      </x:c>
      <x:c r="D12" s="238" t="n">
        <x:f>INDEX('Temperature_Factors'!$B$2:$B$10,MATCH('Cable Selector'!$B$9,'Temperature_Factors'!$A$2:$A$10,0))</x:f>
        <x:v>1</x:v>
      </x:c>
      <x:c r="E12" s="238" t="n">
        <x:f>INDEX('Grouping_Factors'!$B$2:$B$10,MATCH('Cable Selector'!$B$10,'Grouping_Factors'!$A$2:$A$10,0))</x:f>
        <x:v>1</x:v>
      </x:c>
      <x:c r="F12" s="238" t="n">
        <x:f>INDEX('Installation_Methods'!$B$2:$B$6,MATCH('Cable Selector'!$B$11,'Installation_Methods'!$A$2:$A$6,0))</x:f>
        <x:v>1</x:v>
      </x:c>
      <x:c r="G12" s="238" t="n">
        <x:f>C12*D12*E12*F12</x:f>
        <x:v>141</x:v>
      </x:c>
      <x:c r="H12" s="238" t="n">
        <x:f>B12*(1+'Cable Selector'!$B$13*('Cable Selector'!$B$12-20))</x:f>
        <x:v>0.626966</x:v>
      </x:c>
      <x:c r="I12" s="238" t="n">
        <x:f>2*'Cable Selector'!$B$6*H12*'Cable Selector'!$B$5/1000</x:f>
        <x:v>3.0094368000000005</x:v>
      </x:c>
      <x:c r="J12" s="239" t="str">
        <x:f>IF(I12&lt;='Cable Selector'!$B$8,"PASS","FAIL")</x:f>
        <x:v>FAIL</x:v>
      </x:c>
      <x:c r="K12" s="239" t="str">
        <x:f>IF(G12&gt;=MAX('Cable Selector'!$B$6,'Cable Selector'!$B$7),"PASS","FAIL")</x:f>
        <x:v>PASS</x:v>
      </x:c>
      <x:c r="L12" s="239" t="str">
        <x:f>IF(AND(J12="PASS",K12="PASS"),"PASS","FAIL")</x:f>
        <x:v>FAIL</x:v>
      </x:c>
      <x:c r="M12" s="238" t="n">
        <x:f>'Cable Selector'!$B$8*1000/(2*'Cable Selector'!$B$6*H12)</x:f>
        <x:v>99.68642637718791</x:v>
      </x:c>
      <x:c r="N12" s="240" t="str">
        <x:f>IF(L12="PASS","Eligible",IF(AND(J12="FAIL",K12="FAIL"),"Voltage drop and ampacity fail",IF(J12="FAIL","Voltage drop fails","Ampacity fails")))</x:f>
        <x:v>Voltage drop fails</x:v>
      </x:c>
    </x:row>
    <x:row r="13" ht="15" hidden="0" customHeight="1">
      <x:c r="A13" s="237" t="n">
        <x:f>'Copper_LSZH_Cables'!A10</x:f>
        <x:v>50</x:v>
      </x:c>
      <x:c r="B13" s="238" t="n">
        <x:f>'Copper_LSZH_Cables'!B10</x:f>
        <x:v>0.387</x:v>
      </x:c>
      <x:c r="C13" s="238" t="n">
        <x:f>'Copper_LSZH_Cables'!C10</x:f>
        <x:v>176</x:v>
      </x:c>
      <x:c r="D13" s="238" t="n">
        <x:f>INDEX('Temperature_Factors'!$B$2:$B$10,MATCH('Cable Selector'!$B$9,'Temperature_Factors'!$A$2:$A$10,0))</x:f>
        <x:v>1</x:v>
      </x:c>
      <x:c r="E13" s="238" t="n">
        <x:f>INDEX('Grouping_Factors'!$B$2:$B$10,MATCH('Cable Selector'!$B$10,'Grouping_Factors'!$A$2:$A$10,0))</x:f>
        <x:v>1</x:v>
      </x:c>
      <x:c r="F13" s="238" t="n">
        <x:f>INDEX('Installation_Methods'!$B$2:$B$6,MATCH('Cable Selector'!$B$11,'Installation_Methods'!$A$2:$A$6,0))</x:f>
        <x:v>1</x:v>
      </x:c>
      <x:c r="G13" s="238" t="n">
        <x:f>C13*D13*E13*F13</x:f>
        <x:v>176</x:v>
      </x:c>
      <x:c r="H13" s="238" t="n">
        <x:f>B13*(1+'Cable Selector'!$B$13*('Cable Selector'!$B$12-20))</x:f>
        <x:v>0.4630455</x:v>
      </x:c>
      <x:c r="I13" s="238" t="n">
        <x:f>2*'Cable Selector'!$B$6*H13*'Cable Selector'!$B$5/1000</x:f>
        <x:v>2.2226184</x:v>
      </x:c>
      <x:c r="J13" s="239" t="str">
        <x:f>IF(I13&lt;='Cable Selector'!$B$8,"PASS","FAIL")</x:f>
        <x:v>PASS</x:v>
      </x:c>
      <x:c r="K13" s="239" t="str">
        <x:f>IF(G13&gt;=MAX('Cable Selector'!$B$6,'Cable Selector'!$B$7),"PASS","FAIL")</x:f>
        <x:v>PASS</x:v>
      </x:c>
      <x:c r="L13" s="239" t="str">
        <x:f>IF(AND(J13="PASS",K13="PASS"),"PASS","FAIL")</x:f>
        <x:v>PASS</x:v>
      </x:c>
      <x:c r="M13" s="238" t="n">
        <x:f>'Cable Selector'!$B$8*1000/(2*'Cable Selector'!$B$6*H13)</x:f>
        <x:v>134.97593649004256</x:v>
      </x:c>
      <x:c r="N13" s="240" t="str">
        <x:f>IF(L13="PASS","Eligible",IF(AND(J13="FAIL",K13="FAIL"),"Voltage drop and ampacity fail",IF(J13="FAIL","Voltage drop fails","Ampacity fails")))</x:f>
        <x:v>Eligible</x:v>
      </x:c>
    </x:row>
    <x:row r="14" ht="15" hidden="0" customHeight="1">
      <x:c r="A14" s="237" t="n">
        <x:f>'Copper_LSZH_Cables'!A11</x:f>
        <x:v>70</x:v>
      </x:c>
      <x:c r="B14" s="238" t="n">
        <x:f>'Copper_LSZH_Cables'!B11</x:f>
        <x:v>0.268</x:v>
      </x:c>
      <x:c r="C14" s="238" t="n">
        <x:f>'Copper_LSZH_Cables'!C11</x:f>
        <x:v>221</x:v>
      </x:c>
      <x:c r="D14" s="238" t="n">
        <x:f>INDEX('Temperature_Factors'!$B$2:$B$10,MATCH('Cable Selector'!$B$9,'Temperature_Factors'!$A$2:$A$10,0))</x:f>
        <x:v>1</x:v>
      </x:c>
      <x:c r="E14" s="238" t="n">
        <x:f>INDEX('Grouping_Factors'!$B$2:$B$10,MATCH('Cable Selector'!$B$10,'Grouping_Factors'!$A$2:$A$10,0))</x:f>
        <x:v>1</x:v>
      </x:c>
      <x:c r="F14" s="238" t="n">
        <x:f>INDEX('Installation_Methods'!$B$2:$B$6,MATCH('Cable Selector'!$B$11,'Installation_Methods'!$A$2:$A$6,0))</x:f>
        <x:v>1</x:v>
      </x:c>
      <x:c r="G14" s="238" t="n">
        <x:f>C14*D14*E14*F14</x:f>
        <x:v>221</x:v>
      </x:c>
      <x:c r="H14" s="238" t="n">
        <x:f>B14*(1+'Cable Selector'!$B$13*('Cable Selector'!$B$12-20))</x:f>
        <x:v>0.320662</x:v>
      </x:c>
      <x:c r="I14" s="238" t="n">
        <x:f>2*'Cable Selector'!$B$6*H14*'Cable Selector'!$B$5/1000</x:f>
        <x:v>1.5391776</x:v>
      </x:c>
      <x:c r="J14" s="239" t="str">
        <x:f>IF(I14&lt;='Cable Selector'!$B$8,"PASS","FAIL")</x:f>
        <x:v>PASS</x:v>
      </x:c>
      <x:c r="K14" s="239" t="str">
        <x:f>IF(G14&gt;=MAX('Cable Selector'!$B$6,'Cable Selector'!$B$7),"PASS","FAIL")</x:f>
        <x:v>PASS</x:v>
      </x:c>
      <x:c r="L14" s="239" t="str">
        <x:f>IF(AND(J14="PASS",K14="PASS"),"PASS","FAIL")</x:f>
        <x:v>PASS</x:v>
      </x:c>
      <x:c r="M14" s="238" t="n">
        <x:f>'Cable Selector'!$B$8*1000/(2*'Cable Selector'!$B$6*H14)</x:f>
        <x:v>194.909281424054</x:v>
      </x:c>
      <x:c r="N14" s="240" t="str">
        <x:f>IF(L14="PASS","Eligible",IF(AND(J14="FAIL",K14="FAIL"),"Voltage drop and ampacity fail",IF(J14="FAIL","Voltage drop fails","Ampacity fails")))</x:f>
        <x:v>Eligible</x:v>
      </x:c>
    </x:row>
    <x:row r="15" ht="15" hidden="0" customHeight="1">
      <x:c r="A15" s="237" t="n">
        <x:f>'Copper_LSZH_Cables'!A12</x:f>
        <x:v>95</x:v>
      </x:c>
      <x:c r="B15" s="238" t="n">
        <x:f>'Copper_LSZH_Cables'!B12</x:f>
        <x:v>0.193</x:v>
      </x:c>
      <x:c r="C15" s="238" t="n">
        <x:f>'Copper_LSZH_Cables'!C12</x:f>
        <x:v>269</x:v>
      </x:c>
      <x:c r="D15" s="238" t="n">
        <x:f>INDEX('Temperature_Factors'!$B$2:$B$10,MATCH('Cable Selector'!$B$9,'Temperature_Factors'!$A$2:$A$10,0))</x:f>
        <x:v>1</x:v>
      </x:c>
      <x:c r="E15" s="238" t="n">
        <x:f>INDEX('Grouping_Factors'!$B$2:$B$10,MATCH('Cable Selector'!$B$10,'Grouping_Factors'!$A$2:$A$10,0))</x:f>
        <x:v>1</x:v>
      </x:c>
      <x:c r="F15" s="238" t="n">
        <x:f>INDEX('Installation_Methods'!$B$2:$B$6,MATCH('Cable Selector'!$B$11,'Installation_Methods'!$A$2:$A$6,0))</x:f>
        <x:v>1</x:v>
      </x:c>
      <x:c r="G15" s="238" t="n">
        <x:f>C15*D15*E15*F15</x:f>
        <x:v>269</x:v>
      </x:c>
      <x:c r="H15" s="238" t="n">
        <x:f>B15*(1+'Cable Selector'!$B$13*('Cable Selector'!$B$12-20))</x:f>
        <x:v>0.23092449999999998</x:v>
      </x:c>
      <x:c r="I15" s="238" t="n">
        <x:f>2*'Cable Selector'!$B$6*H15*'Cable Selector'!$B$5/1000</x:f>
        <x:v>1.1084376</x:v>
      </x:c>
      <x:c r="J15" s="239" t="str">
        <x:f>IF(I15&lt;='Cable Selector'!$B$8,"PASS","FAIL")</x:f>
        <x:v>PASS</x:v>
      </x:c>
      <x:c r="K15" s="239" t="str">
        <x:f>IF(G15&gt;=MAX('Cable Selector'!$B$6,'Cable Selector'!$B$7),"PASS","FAIL")</x:f>
        <x:v>PASS</x:v>
      </x:c>
      <x:c r="L15" s="239" t="str">
        <x:f>IF(AND(J15="PASS",K15="PASS"),"PASS","FAIL")</x:f>
        <x:v>PASS</x:v>
      </x:c>
      <x:c r="M15" s="238" t="n">
        <x:f>'Cable Selector'!$B$8*1000/(2*'Cable Selector'!$B$6*H15)</x:f>
        <x:v>270.6512301639714</x:v>
      </x:c>
      <x:c r="N15" s="240" t="str">
        <x:f>IF(L15="PASS","Eligible",IF(AND(J15="FAIL",K15="FAIL"),"Voltage drop and ampacity fail",IF(J15="FAIL","Voltage drop fails","Ampacity fails")))</x:f>
        <x:v>Eligible</x:v>
      </x:c>
    </x:row>
    <x:row r="16" ht="15" hidden="0" customHeight="1">
      <x:c r="A16" s="241" t="n">
        <x:f>'Copper_LSZH_Cables'!A13</x:f>
        <x:v>120</x:v>
      </x:c>
      <x:c r="B16" s="242" t="n">
        <x:f>'Copper_LSZH_Cables'!B13</x:f>
        <x:v>0.153</x:v>
      </x:c>
      <x:c r="C16" s="242" t="n">
        <x:f>'Copper_LSZH_Cables'!C13</x:f>
        <x:v>312</x:v>
      </x:c>
      <x:c r="D16" s="242" t="n">
        <x:f>INDEX('Temperature_Factors'!$B$2:$B$10,MATCH('Cable Selector'!$B$9,'Temperature_Factors'!$A$2:$A$10,0))</x:f>
        <x:v>1</x:v>
      </x:c>
      <x:c r="E16" s="242" t="n">
        <x:f>INDEX('Grouping_Factors'!$B$2:$B$10,MATCH('Cable Selector'!$B$10,'Grouping_Factors'!$A$2:$A$10,0))</x:f>
        <x:v>1</x:v>
      </x:c>
      <x:c r="F16" s="242" t="n">
        <x:f>INDEX('Installation_Methods'!$B$2:$B$6,MATCH('Cable Selector'!$B$11,'Installation_Methods'!$A$2:$A$6,0))</x:f>
        <x:v>1</x:v>
      </x:c>
      <x:c r="G16" s="242" t="n">
        <x:f>C16*D16*E16*F16</x:f>
        <x:v>312</x:v>
      </x:c>
      <x:c r="H16" s="242" t="n">
        <x:f>B16*(1+'Cable Selector'!$B$13*('Cable Selector'!$B$12-20))</x:f>
        <x:v>0.1830645</x:v>
      </x:c>
      <x:c r="I16" s="242" t="n">
        <x:f>2*'Cable Selector'!$B$6*H16*'Cable Selector'!$B$5/1000</x:f>
        <x:v>0.8787096</x:v>
      </x:c>
      <x:c r="J16" s="243" t="str">
        <x:f>IF(I16&lt;='Cable Selector'!$B$8,"PASS","FAIL")</x:f>
        <x:v>PASS</x:v>
      </x:c>
      <x:c r="K16" s="243" t="str">
        <x:f>IF(G16&gt;=MAX('Cable Selector'!$B$6,'Cable Selector'!$B$7),"PASS","FAIL")</x:f>
        <x:v>PASS</x:v>
      </x:c>
      <x:c r="L16" s="243" t="str">
        <x:f>IF(AND(J16="PASS",K16="PASS"),"PASS","FAIL")</x:f>
        <x:v>PASS</x:v>
      </x:c>
      <x:c r="M16" s="242" t="n">
        <x:f>'Cable Selector'!$B$8*1000/(2*'Cable Selector'!$B$6*H16)</x:f>
        <x:v>341.40972171010765</x:v>
      </x:c>
      <x:c r="N16" s="244" t="str">
        <x:f>IF(L16="PASS","Eligible",IF(AND(J16="FAIL",K16="FAIL"),"Voltage drop and ampacity fail",IF(J16="FAIL","Voltage drop fails","Ampacity fails")))</x:f>
        <x:v>Eligible</x:v>
      </x:c>
    </x:row>
  </x:sheetData>
  <x:mergeCells>
    <x:mergeCell ref="A1:N2"/>
  </x:mergeCells>
  <x:conditionalFormatting sqref="J5:L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18" hidden="0" customWidth="1"/>
  </x:cols>
  <x:sheetData>
    <x:row r="1" ht="30" customHeight="1">
      <x:c r="A1" s="3" t="str">
        <x:v>3 V DC Cable Reference Table (Equation 2)</x:v>
      </x:c>
      <x:c r="B1" s="3" t="str">
        <x:v>3 V DC Cable Reference Table (Equation 2)</x:v>
      </x:c>
      <x:c r="C1" s="3" t="str">
        <x:v>3 V DC Cable Reference Table (Equation 2)</x:v>
      </x:c>
      <x:c r="D1" s="3" t="str">
        <x:v>3 V DC Cable Reference Table (Equation 2)</x:v>
      </x:c>
      <x:c r="E1" s="3" t="str">
        <x:v>3 V DC Cable Reference Table (Equation 2)</x:v>
      </x:c>
      <x:c r="F1" s="3" t="str">
        <x:v>3 V DC Cable Reference Table (Equation 2)</x:v>
      </x:c>
      <x:c r="G1" s="3" t="str">
        <x:v>3 V DC Cable Reference Table (Equation 2)</x:v>
      </x:c>
      <x:c r="H1" s="3" t="str">
        <x:v>3 V DC Cable Reference Table (Equation 2)</x:v>
      </x:c>
      <x:c r="I1" s="3" t="str">
        <x:v>3 V DC Cable Reference Table (Equation 2)</x:v>
      </x:c>
      <x:c r="J1" s="3" t="str">
        <x:v>3 V DC Cable Reference Table (Equation 2)</x:v>
      </x:c>
    </x:row>
    <x:row r="2" ht="30" customHeight="1">
      <x:c r="A2" s="3" t="str">
        <x:v>3 V DC Cable Reference Table (Equation 2)</x:v>
      </x:c>
      <x:c r="B2" s="3" t="str">
        <x:v>3 V DC Cable Reference Table (Equation 2)</x:v>
      </x:c>
      <x:c r="C2" s="3" t="str">
        <x:v>3 V DC Cable Reference Table (Equation 2)</x:v>
      </x:c>
      <x:c r="D2" s="3" t="str">
        <x:v>3 V DC Cable Reference Table (Equation 2)</x:v>
      </x:c>
      <x:c r="E2" s="3" t="str">
        <x:v>3 V DC Cable Reference Table (Equation 2)</x:v>
      </x:c>
      <x:c r="F2" s="3" t="str">
        <x:v>3 V DC Cable Reference Table (Equation 2)</x:v>
      </x:c>
      <x:c r="G2" s="3" t="str">
        <x:v>3 V DC Cable Reference Table (Equation 2)</x:v>
      </x:c>
      <x:c r="H2" s="3" t="str">
        <x:v>3 V DC Cable Reference Table (Equation 2)</x:v>
      </x:c>
      <x:c r="I2" s="3" t="str">
        <x:v>3 V DC Cable Reference Table (Equation 2)</x:v>
      </x:c>
      <x:c r="J2" s="3" t="str">
        <x:v>3 V DC Cable Reference Table (Equation 2)</x:v>
      </x:c>
    </x:row>
    <x:row r="3" ht="15" hidden="0" customHeight="1">
      <x:c r="A3" s="216" t="str">
        <x:v>Lengths are one-way maximums. Design-temperature values use the resistance correction entered on Cable Selector; ampacity status uses its correction factors.</x:v>
      </x:c>
      <x:c r="B3" s="216"/>
      <x:c r="C3" s="216"/>
      <x:c r="D3" s="216"/>
      <x:c r="E3" s="216"/>
      <x:c r="F3" s="216"/>
      <x:c r="G3" s="216"/>
      <x:c r="H3" s="216"/>
      <x:c r="I3" s="216"/>
      <x:c r="J3" s="216"/>
    </x:row>
    <x:row r="4" ht="15" hidden="0" customHeight="1">
      <x:c r="A4" s="158"/>
      <x:c r="B4" s="158"/>
      <x:c r="C4" s="158"/>
      <x:c r="D4" s="158"/>
      <x:c r="E4" s="158"/>
      <x:c r="F4" s="158"/>
      <x:c r="G4" s="158"/>
      <x:c r="H4" s="158"/>
      <x:c r="I4" s="158"/>
      <x:c r="J4" s="158"/>
    </x:row>
    <x:row r="5" ht="26.399999618530273" hidden="0" customHeight="1">
      <x:c r="A5" s="12" t="str">
        <x:v>CB rating (A)</x:v>
      </x:c>
      <x:c r="B5" s="12" t="str">
        <x:v>Load max (A)</x:v>
      </x:c>
      <x:c r="C5" s="12" t="str">
        <x:v>Cable (mm²)</x:v>
      </x:c>
      <x:c r="D5" s="12" t="str">
        <x:v>R20 (Ω/km)</x:v>
      </x:c>
      <x:c r="E5" s="12" t="str">
        <x:v>R at design T (Ω/km)</x:v>
      </x:c>
      <x:c r="F5" s="12" t="str">
        <x:v>Max L at 20°C (m)</x:v>
      </x:c>
      <x:c r="G5" s="12" t="str">
        <x:v>Max L at design T (m)</x:v>
      </x:c>
      <x:c r="H5" s="12" t="str">
        <x:v>Corrected ampacity (A)</x:v>
      </x:c>
      <x:c r="I5" s="12" t="str">
        <x:v>Ampacity status</x:v>
      </x:c>
      <x:c r="J5" s="12" t="str">
        <x:v>Source-photo 1.5 V L (m)</x:v>
      </x:c>
    </x:row>
    <x:row r="6" ht="15" hidden="0" customHeight="1">
      <x:c r="A6" s="257" t="n">
        <x:v>15</x:v>
      </x:c>
      <x:c r="B6" s="258" t="n">
        <x:v>12</x:v>
      </x:c>
      <x:c r="C6" s="258" t="n">
        <x:v>6</x:v>
      </x:c>
      <x:c r="D6" s="234" t="n">
        <x:f>INDEX('Copper_LSZH_Cables'!$B$2:$B$13,MATCH(C6,'Copper_LSZH_Cables'!$A$2:$A$13,0))</x:f>
        <x:v>3.08</x:v>
      </x:c>
      <x:c r="E6" s="234" t="n">
        <x:f>D6*(1+'Cable Selector'!$B$13*('Cable Selector'!$B$12-20))</x:f>
        <x:v>3.6852199999999997</x:v>
      </x:c>
      <x:c r="F6" s="234" t="n">
        <x:f>3*1000/(2*B6*D6)</x:f>
        <x:v>40.58441558441558</x:v>
      </x:c>
      <x:c r="G6" s="234" t="n">
        <x:f>3*1000/(2*B6*E6)</x:f>
        <x:v>33.91927754652368</x:v>
      </x:c>
      <x:c r="H6" s="234" t="n">
        <x:f>INDEX('Copper_LSZH_Cables'!$C$2:$C$13,MATCH(C6,'Copper_LSZH_Cables'!$A$2:$A$13,0))*INDEX('Temperature_Factors'!$B$2:$B$10,MATCH('Cable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47</x:v>
      </x:c>
      <x:c r="I6" s="259" t="str">
        <x:f>IF(H6&gt;=MAX(A6,B6),"PASS","FAIL")</x:f>
        <x:v>PASS</x:v>
      </x:c>
      <x:c r="J6" s="260" t="n">
        <x:v>21</x:v>
      </x:c>
    </x:row>
    <x:row r="7" ht="15" hidden="0" customHeight="1">
      <x:c r="A7" s="261" t="n">
        <x:v>15</x:v>
      </x:c>
      <x:c r="B7" s="262" t="n">
        <x:v>12</x:v>
      </x:c>
      <x:c r="C7" s="262" t="n">
        <x:v>10</x:v>
      </x:c>
      <x:c r="D7" s="238" t="n">
        <x:f>INDEX('Copper_LSZH_Cables'!$B$2:$B$13,MATCH(C7,'Copper_LSZH_Cables'!$A$2:$A$13,0))</x:f>
        <x:v>1.83</x:v>
      </x:c>
      <x:c r="E7" s="238" t="n">
        <x:f>D7*(1+'Cable Selector'!$B$13*('Cable Selector'!$B$12-20))</x:f>
        <x:v>2.1895949999999997</x:v>
      </x:c>
      <x:c r="F7" s="238" t="n">
        <x:f>3*1000/(2*B7*D7)</x:f>
        <x:v>68.30601092896174</x:v>
      </x:c>
      <x:c r="G7" s="238" t="n">
        <x:f>3*1000/(2*B7*E7)</x:f>
        <x:v>57.08818297447702</x:v>
      </x:c>
      <x:c r="H7" s="238" t="n">
        <x:f>INDEX('Copper_LSZH_Cables'!$C$2:$C$13,MATCH(C7,'Copper_LSZH_Cables'!$A$2:$A$13,0))*INDEX('Temperature_Factors'!$B$2:$B$10,MATCH('Cable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7" s="263" t="str">
        <x:f>IF(H7&gt;=MAX(A7,B7),"PASS","FAIL")</x:f>
        <x:v>PASS</x:v>
      </x:c>
      <x:c r="J7" s="264" t="n">
        <x:v>36</x:v>
      </x:c>
    </x:row>
    <x:row r="8" ht="15" hidden="0" customHeight="1">
      <x:c r="A8" s="261" t="n">
        <x:v>15</x:v>
      </x:c>
      <x:c r="B8" s="262" t="n">
        <x:v>12</x:v>
      </x:c>
      <x:c r="C8" s="262" t="n">
        <x:v>16</x:v>
      </x:c>
      <x:c r="D8" s="238" t="n">
        <x:f>INDEX('Copper_LSZH_Cables'!$B$2:$B$13,MATCH(C8,'Copper_LSZH_Cables'!$A$2:$A$13,0))</x:f>
        <x:v>1.15</x:v>
      </x:c>
      <x:c r="E8" s="238" t="n">
        <x:f>D8*(1+'Cable Selector'!$B$13*('Cable Selector'!$B$12-20))</x:f>
        <x:v>1.3759749999999997</x:v>
      </x:c>
      <x:c r="F8" s="238" t="n">
        <x:f>3*1000/(2*B8*D8)</x:f>
        <x:v>108.69565217391305</x:v>
      </x:c>
      <x:c r="G8" s="238" t="n">
        <x:f>3*1000/(2*B8*E8)</x:f>
        <x:v>90.84467377677647</x:v>
      </x:c>
      <x:c r="H8" s="238" t="n">
        <x:f>INDEX('Copper_LSZH_Cables'!$C$2:$C$13,MATCH(C8,'Copper_LSZH_Cables'!$A$2:$A$13,0))*INDEX('Temperature_Factors'!$B$2:$B$10,MATCH('Cable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8" s="263" t="str">
        <x:f>IF(H8&gt;=MAX(A8,B8),"PASS","FAIL")</x:f>
        <x:v>PASS</x:v>
      </x:c>
      <x:c r="J8" s="264" t="n">
        <x:v>57</x:v>
      </x:c>
    </x:row>
    <x:row r="9" ht="15" hidden="0" customHeight="1">
      <x:c r="A9" s="261" t="n">
        <x:v>15</x:v>
      </x:c>
      <x:c r="B9" s="262" t="n">
        <x:v>12</x:v>
      </x:c>
      <x:c r="C9" s="262" t="n">
        <x:v>25</x:v>
      </x:c>
      <x:c r="D9" s="238" t="n">
        <x:f>INDEX('Copper_LSZH_Cables'!$B$2:$B$13,MATCH(C9,'Copper_LSZH_Cables'!$A$2:$A$13,0))</x:f>
        <x:v>0.727</x:v>
      </x:c>
      <x:c r="E9" s="238" t="n">
        <x:f>D9*(1+'Cable Selector'!$B$13*('Cable Selector'!$B$12-20))</x:f>
        <x:v>0.8698554999999999</x:v>
      </x:c>
      <x:c r="F9" s="238" t="n">
        <x:f>3*1000/(2*B9*D9)</x:f>
        <x:v>171.93947730398898</x:v>
      </x:c>
      <x:c r="G9" s="238" t="n">
        <x:f>3*1000/(2*B9*E9)</x:f>
        <x:v>143.70202867027916</x:v>
      </x:c>
      <x:c r="H9" s="238" t="n">
        <x:f>INDEX('Copper_LSZH_Cables'!$C$2:$C$13,MATCH(C9,'Copper_LSZH_Cables'!$A$2:$A$13,0))*INDEX('Temperature_Factors'!$B$2:$B$10,MATCH('Cable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9" s="263" t="str">
        <x:f>IF(H9&gt;=MAX(A9,B9),"PASS","FAIL")</x:f>
        <x:v>PASS</x:v>
      </x:c>
      <x:c r="J9" s="264" t="n">
        <x:v>89</x:v>
      </x:c>
    </x:row>
    <x:row r="10" ht="15" hidden="0" customHeight="1">
      <x:c r="A10" s="261" t="n">
        <x:v>15</x:v>
      </x:c>
      <x:c r="B10" s="262" t="n">
        <x:v>12</x:v>
      </x:c>
      <x:c r="C10" s="262" t="n">
        <x:v>35</x:v>
      </x:c>
      <x:c r="D10" s="238" t="n">
        <x:f>INDEX('Copper_LSZH_Cables'!$B$2:$B$13,MATCH(C10,'Copper_LSZH_Cables'!$A$2:$A$13,0))</x:f>
        <x:v>0.524</x:v>
      </x:c>
      <x:c r="E10" s="238" t="n">
        <x:f>D10*(1+'Cable Selector'!$B$13*('Cable Selector'!$B$12-20))</x:f>
        <x:v>0.626966</x:v>
      </x:c>
      <x:c r="F10" s="238" t="n">
        <x:f>3*1000/(2*B10*D10)</x:f>
        <x:v>238.54961832061068</x:v>
      </x:c>
      <x:c r="G10" s="238" t="n">
        <x:f>3*1000/(2*B10*E10)</x:f>
        <x:v>199.37285275437583</x:v>
      </x:c>
      <x:c r="H10" s="238" t="n">
        <x:f>INDEX('Copper_LSZH_Cables'!$C$2:$C$13,MATCH(C10,'Copper_LSZH_Cables'!$A$2:$A$13,0))*INDEX('Temperature_Factors'!$B$2:$B$10,MATCH('Cable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10" s="263" t="str">
        <x:f>IF(H10&gt;=MAX(A10,B10),"PASS","FAIL")</x:f>
        <x:v>PASS</x:v>
      </x:c>
      <x:c r="J10" s="264" t="n">
        <x:v>125</x:v>
      </x:c>
    </x:row>
    <x:row r="11" ht="15" hidden="0" customHeight="1">
      <x:c r="A11" s="261" t="n">
        <x:v>15</x:v>
      </x:c>
      <x:c r="B11" s="262" t="n">
        <x:v>12</x:v>
      </x:c>
      <x:c r="C11" s="262" t="n">
        <x:v>50</x:v>
      </x:c>
      <x:c r="D11" s="238" t="n">
        <x:f>INDEX('Copper_LSZH_Cables'!$B$2:$B$13,MATCH(C11,'Copper_LSZH_Cables'!$A$2:$A$13,0))</x:f>
        <x:v>0.387</x:v>
      </x:c>
      <x:c r="E11" s="238" t="n">
        <x:f>D11*(1+'Cable Selector'!$B$13*('Cable Selector'!$B$12-20))</x:f>
        <x:v>0.4630455</x:v>
      </x:c>
      <x:c r="F11" s="238" t="n">
        <x:f>3*1000/(2*B11*D11)</x:f>
        <x:v>322.99741602067184</x:v>
      </x:c>
      <x:c r="G11" s="238" t="n">
        <x:f>3*1000/(2*B11*E11)</x:f>
        <x:v>269.9518729800851</x:v>
      </x:c>
      <x:c r="H11" s="238" t="n">
        <x:f>INDEX('Copper_LSZH_Cables'!$C$2:$C$13,MATCH(C11,'Copper_LSZH_Cables'!$A$2:$A$13,0))*INDEX('Temperature_Factors'!$B$2:$B$10,MATCH('Cable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11" s="263" t="str">
        <x:f>IF(H11&gt;=MAX(A11,B11),"PASS","FAIL")</x:f>
        <x:v>PASS</x:v>
      </x:c>
      <x:c r="J11" s="264" t="n">
        <x:v>178</x:v>
      </x:c>
    </x:row>
    <x:row r="12" ht="15" hidden="0" customHeight="1">
      <x:c r="A12" s="261" t="n">
        <x:v>15</x:v>
      </x:c>
      <x:c r="B12" s="262" t="n">
        <x:v>12</x:v>
      </x:c>
      <x:c r="C12" s="262" t="n">
        <x:v>70</x:v>
      </x:c>
      <x:c r="D12" s="238" t="n">
        <x:f>INDEX('Copper_LSZH_Cables'!$B$2:$B$13,MATCH(C12,'Copper_LSZH_Cables'!$A$2:$A$13,0))</x:f>
        <x:v>0.268</x:v>
      </x:c>
      <x:c r="E12" s="238" t="n">
        <x:f>D12*(1+'Cable Selector'!$B$13*('Cable Selector'!$B$12-20))</x:f>
        <x:v>0.320662</x:v>
      </x:c>
      <x:c r="F12" s="238" t="n">
        <x:f>3*1000/(2*B12*D12)</x:f>
        <x:v>466.4179104477612</x:v>
      </x:c>
      <x:c r="G12" s="238" t="n">
        <x:f>3*1000/(2*B12*E12)</x:f>
        <x:v>389.818562848108</x:v>
      </x:c>
      <x:c r="H12" s="238" t="n">
        <x:f>INDEX('Copper_LSZH_Cables'!$C$2:$C$13,MATCH(C12,'Copper_LSZH_Cables'!$A$2:$A$13,0))*INDEX('Temperature_Factors'!$B$2:$B$10,MATCH('Cable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12" s="263" t="str">
        <x:f>IF(H12&gt;=MAX(A12,B12),"PASS","FAIL")</x:f>
        <x:v>PASS</x:v>
      </x:c>
      <x:c r="J12" s="264" t="n">
        <x:v>249</x:v>
      </x:c>
    </x:row>
    <x:row r="13" ht="15" hidden="0" customHeight="1">
      <x:c r="A13" s="261" t="n">
        <x:v>30</x:v>
      </x:c>
      <x:c r="B13" s="262" t="n">
        <x:v>24</x:v>
      </x:c>
      <x:c r="C13" s="262" t="n">
        <x:v>6</x:v>
      </x:c>
      <x:c r="D13" s="238" t="n">
        <x:f>INDEX('Copper_LSZH_Cables'!$B$2:$B$13,MATCH(C13,'Copper_LSZH_Cables'!$A$2:$A$13,0))</x:f>
        <x:v>3.08</x:v>
      </x:c>
      <x:c r="E13" s="238" t="n">
        <x:f>D13*(1+'Cable Selector'!$B$13*('Cable Selector'!$B$12-20))</x:f>
        <x:v>3.6852199999999997</x:v>
      </x:c>
      <x:c r="F13" s="238" t="n">
        <x:f>3*1000/(2*B13*D13)</x:f>
        <x:v>20.29220779220779</x:v>
      </x:c>
      <x:c r="G13" s="238" t="n">
        <x:f>3*1000/(2*B13*E13)</x:f>
        <x:v>16.95963877326184</x:v>
      </x:c>
      <x:c r="H13" s="238" t="n">
        <x:f>INDEX('Copper_LSZH_Cables'!$C$2:$C$13,MATCH(C13,'Copper_LSZH_Cables'!$A$2:$A$13,0))*INDEX('Temperature_Factors'!$B$2:$B$10,MATCH('Cable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47</x:v>
      </x:c>
      <x:c r="I13" s="263" t="str">
        <x:f>IF(H13&gt;=MAX(A13,B13),"PASS","FAIL")</x:f>
        <x:v>PASS</x:v>
      </x:c>
      <x:c r="J13" s="264" t="n">
        <x:v>11</x:v>
      </x:c>
    </x:row>
    <x:row r="14" ht="15" hidden="0" customHeight="1">
      <x:c r="A14" s="261" t="n">
        <x:v>30</x:v>
      </x:c>
      <x:c r="B14" s="262" t="n">
        <x:v>24</x:v>
      </x:c>
      <x:c r="C14" s="262" t="n">
        <x:v>10</x:v>
      </x:c>
      <x:c r="D14" s="238" t="n">
        <x:f>INDEX('Copper_LSZH_Cables'!$B$2:$B$13,MATCH(C14,'Copper_LSZH_Cables'!$A$2:$A$13,0))</x:f>
        <x:v>1.83</x:v>
      </x:c>
      <x:c r="E14" s="238" t="n">
        <x:f>D14*(1+'Cable Selector'!$B$13*('Cable Selector'!$B$12-20))</x:f>
        <x:v>2.1895949999999997</x:v>
      </x:c>
      <x:c r="F14" s="238" t="n">
        <x:f>3*1000/(2*B14*D14)</x:f>
        <x:v>34.15300546448087</x:v>
      </x:c>
      <x:c r="G14" s="238" t="n">
        <x:f>3*1000/(2*B14*E14)</x:f>
        <x:v>28.54409148723851</x:v>
      </x:c>
      <x:c r="H14" s="238" t="n">
        <x:f>INDEX('Copper_LSZH_Cables'!$C$2:$C$13,MATCH(C14,'Copper_LSZH_Cables'!$A$2:$A$13,0))*INDEX('Temperature_Factors'!$B$2:$B$10,MATCH('Cable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14" s="263" t="str">
        <x:f>IF(H14&gt;=MAX(A14,B14),"PASS","FAIL")</x:f>
        <x:v>PASS</x:v>
      </x:c>
      <x:c r="J14" s="264" t="n">
        <x:v>18</x:v>
      </x:c>
    </x:row>
    <x:row r="15" ht="15" hidden="0" customHeight="1">
      <x:c r="A15" s="261" t="n">
        <x:v>30</x:v>
      </x:c>
      <x:c r="B15" s="262" t="n">
        <x:v>24</x:v>
      </x:c>
      <x:c r="C15" s="262" t="n">
        <x:v>16</x:v>
      </x:c>
      <x:c r="D15" s="238" t="n">
        <x:f>INDEX('Copper_LSZH_Cables'!$B$2:$B$13,MATCH(C15,'Copper_LSZH_Cables'!$A$2:$A$13,0))</x:f>
        <x:v>1.15</x:v>
      </x:c>
      <x:c r="E15" s="238" t="n">
        <x:f>D15*(1+'Cable Selector'!$B$13*('Cable Selector'!$B$12-20))</x:f>
        <x:v>1.3759749999999997</x:v>
      </x:c>
      <x:c r="F15" s="238" t="n">
        <x:f>3*1000/(2*B15*D15)</x:f>
        <x:v>54.34782608695652</x:v>
      </x:c>
      <x:c r="G15" s="238" t="n">
        <x:f>3*1000/(2*B15*E15)</x:f>
        <x:v>45.42233688838824</x:v>
      </x:c>
      <x:c r="H15" s="238" t="n">
        <x:f>INDEX('Copper_LSZH_Cables'!$C$2:$C$13,MATCH(C15,'Copper_LSZH_Cables'!$A$2:$A$13,0))*INDEX('Temperature_Factors'!$B$2:$B$10,MATCH('Cable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15" s="263" t="str">
        <x:f>IF(H15&gt;=MAX(A15,B15),"PASS","FAIL")</x:f>
        <x:v>PASS</x:v>
      </x:c>
      <x:c r="J15" s="264" t="n">
        <x:v>29</x:v>
      </x:c>
    </x:row>
    <x:row r="16" ht="15" hidden="0" customHeight="1">
      <x:c r="A16" s="261" t="n">
        <x:v>30</x:v>
      </x:c>
      <x:c r="B16" s="262" t="n">
        <x:v>24</x:v>
      </x:c>
      <x:c r="C16" s="262" t="n">
        <x:v>25</x:v>
      </x:c>
      <x:c r="D16" s="238" t="n">
        <x:f>INDEX('Copper_LSZH_Cables'!$B$2:$B$13,MATCH(C16,'Copper_LSZH_Cables'!$A$2:$A$13,0))</x:f>
        <x:v>0.727</x:v>
      </x:c>
      <x:c r="E16" s="238" t="n">
        <x:f>D16*(1+'Cable Selector'!$B$13*('Cable Selector'!$B$12-20))</x:f>
        <x:v>0.8698554999999999</x:v>
      </x:c>
      <x:c r="F16" s="238" t="n">
        <x:f>3*1000/(2*B16*D16)</x:f>
        <x:v>85.96973865199449</x:v>
      </x:c>
      <x:c r="G16" s="238" t="n">
        <x:f>3*1000/(2*B16*E16)</x:f>
        <x:v>71.85101433513958</x:v>
      </x:c>
      <x:c r="H16" s="238" t="n">
        <x:f>INDEX('Copper_LSZH_Cables'!$C$2:$C$13,MATCH(C16,'Copper_LSZH_Cables'!$A$2:$A$13,0))*INDEX('Temperature_Factors'!$B$2:$B$10,MATCH('Cable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16" s="263" t="str">
        <x:f>IF(H16&gt;=MAX(A16,B16),"PASS","FAIL")</x:f>
        <x:v>PASS</x:v>
      </x:c>
      <x:c r="J16" s="264" t="n">
        <x:v>45</x:v>
      </x:c>
    </x:row>
    <x:row r="17" ht="15" hidden="0" customHeight="1">
      <x:c r="A17" s="261" t="n">
        <x:v>30</x:v>
      </x:c>
      <x:c r="B17" s="262" t="n">
        <x:v>24</x:v>
      </x:c>
      <x:c r="C17" s="262" t="n">
        <x:v>35</x:v>
      </x:c>
      <x:c r="D17" s="238" t="n">
        <x:f>INDEX('Copper_LSZH_Cables'!$B$2:$B$13,MATCH(C17,'Copper_LSZH_Cables'!$A$2:$A$13,0))</x:f>
        <x:v>0.524</x:v>
      </x:c>
      <x:c r="E17" s="238" t="n">
        <x:f>D17*(1+'Cable Selector'!$B$13*('Cable Selector'!$B$12-20))</x:f>
        <x:v>0.626966</x:v>
      </x:c>
      <x:c r="F17" s="238" t="n">
        <x:f>3*1000/(2*B17*D17)</x:f>
        <x:v>119.27480916030534</x:v>
      </x:c>
      <x:c r="G17" s="238" t="n">
        <x:f>3*1000/(2*B17*E17)</x:f>
        <x:v>99.68642637718791</x:v>
      </x:c>
      <x:c r="H17" s="238" t="n">
        <x:f>INDEX('Copper_LSZH_Cables'!$C$2:$C$13,MATCH(C17,'Copper_LSZH_Cables'!$A$2:$A$13,0))*INDEX('Temperature_Factors'!$B$2:$B$10,MATCH('Cable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17" s="263" t="str">
        <x:f>IF(H17&gt;=MAX(A17,B17),"PASS","FAIL")</x:f>
        <x:v>PASS</x:v>
      </x:c>
      <x:c r="J17" s="264" t="n">
        <x:v>62</x:v>
      </x:c>
    </x:row>
    <x:row r="18" ht="15" hidden="0" customHeight="1">
      <x:c r="A18" s="261" t="n">
        <x:v>30</x:v>
      </x:c>
      <x:c r="B18" s="262" t="n">
        <x:v>24</x:v>
      </x:c>
      <x:c r="C18" s="262" t="n">
        <x:v>50</x:v>
      </x:c>
      <x:c r="D18" s="238" t="n">
        <x:f>INDEX('Copper_LSZH_Cables'!$B$2:$B$13,MATCH(C18,'Copper_LSZH_Cables'!$A$2:$A$13,0))</x:f>
        <x:v>0.387</x:v>
      </x:c>
      <x:c r="E18" s="238" t="n">
        <x:f>D18*(1+'Cable Selector'!$B$13*('Cable Selector'!$B$12-20))</x:f>
        <x:v>0.4630455</x:v>
      </x:c>
      <x:c r="F18" s="238" t="n">
        <x:f>3*1000/(2*B18*D18)</x:f>
        <x:v>161.49870801033592</x:v>
      </x:c>
      <x:c r="G18" s="238" t="n">
        <x:f>3*1000/(2*B18*E18)</x:f>
        <x:v>134.97593649004256</x:v>
      </x:c>
      <x:c r="H18" s="238" t="n">
        <x:f>INDEX('Copper_LSZH_Cables'!$C$2:$C$13,MATCH(C18,'Copper_LSZH_Cables'!$A$2:$A$13,0))*INDEX('Temperature_Factors'!$B$2:$B$10,MATCH('Cable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18" s="263" t="str">
        <x:f>IF(H18&gt;=MAX(A18,B18),"PASS","FAIL")</x:f>
        <x:v>PASS</x:v>
      </x:c>
      <x:c r="J18" s="264" t="n">
        <x:v>89</x:v>
      </x:c>
    </x:row>
    <x:row r="19" ht="15" hidden="0" customHeight="1">
      <x:c r="A19" s="261" t="n">
        <x:v>30</x:v>
      </x:c>
      <x:c r="B19" s="262" t="n">
        <x:v>24</x:v>
      </x:c>
      <x:c r="C19" s="262" t="n">
        <x:v>70</x:v>
      </x:c>
      <x:c r="D19" s="238" t="n">
        <x:f>INDEX('Copper_LSZH_Cables'!$B$2:$B$13,MATCH(C19,'Copper_LSZH_Cables'!$A$2:$A$13,0))</x:f>
        <x:v>0.268</x:v>
      </x:c>
      <x:c r="E19" s="238" t="n">
        <x:f>D19*(1+'Cable Selector'!$B$13*('Cable Selector'!$B$12-20))</x:f>
        <x:v>0.320662</x:v>
      </x:c>
      <x:c r="F19" s="238" t="n">
        <x:f>3*1000/(2*B19*D19)</x:f>
        <x:v>233.2089552238806</x:v>
      </x:c>
      <x:c r="G19" s="238" t="n">
        <x:f>3*1000/(2*B19*E19)</x:f>
        <x:v>194.909281424054</x:v>
      </x:c>
      <x:c r="H19" s="238" t="n">
        <x:f>INDEX('Copper_LSZH_Cables'!$C$2:$C$13,MATCH(C19,'Copper_LSZH_Cables'!$A$2:$A$13,0))*INDEX('Temperature_Factors'!$B$2:$B$10,MATCH('Cable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19" s="263" t="str">
        <x:f>IF(H19&gt;=MAX(A19,B19),"PASS","FAIL")</x:f>
        <x:v>PASS</x:v>
      </x:c>
      <x:c r="J19" s="264" t="n">
        <x:v>125</x:v>
      </x:c>
    </x:row>
    <x:row r="20" ht="15" hidden="0" customHeight="1">
      <x:c r="A20" s="261" t="n">
        <x:v>40</x:v>
      </x:c>
      <x:c r="B20" s="262" t="n">
        <x:v>32</x:v>
      </x:c>
      <x:c r="C20" s="262" t="n">
        <x:v>6</x:v>
      </x:c>
      <x:c r="D20" s="238" t="n">
        <x:f>INDEX('Copper_LSZH_Cables'!$B$2:$B$13,MATCH(C20,'Copper_LSZH_Cables'!$A$2:$A$13,0))</x:f>
        <x:v>3.08</x:v>
      </x:c>
      <x:c r="E20" s="238" t="n">
        <x:f>D20*(1+'Cable Selector'!$B$13*('Cable Selector'!$B$12-20))</x:f>
        <x:v>3.6852199999999997</x:v>
      </x:c>
      <x:c r="F20" s="238" t="n">
        <x:f>3*1000/(2*B20*D20)</x:f>
        <x:v>15.219155844155845</x:v>
      </x:c>
      <x:c r="G20" s="238" t="n">
        <x:f>3*1000/(2*B20*E20)</x:f>
        <x:v>12.719729079946381</x:v>
      </x:c>
      <x:c r="H20" s="238" t="n">
        <x:f>INDEX('Copper_LSZH_Cables'!$C$2:$C$13,MATCH(C20,'Copper_LSZH_Cables'!$A$2:$A$13,0))*INDEX('Temperature_Factors'!$B$2:$B$10,MATCH('Cable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47</x:v>
      </x:c>
      <x:c r="I20" s="263" t="str">
        <x:f>IF(H20&gt;=MAX(A20,B20),"PASS","FAIL")</x:f>
        <x:v>PASS</x:v>
      </x:c>
      <x:c r="J20" s="264" t="n">
        <x:v>8</x:v>
      </x:c>
    </x:row>
    <x:row r="21" ht="15" hidden="0" customHeight="1">
      <x:c r="A21" s="261" t="n">
        <x:v>40</x:v>
      </x:c>
      <x:c r="B21" s="262" t="n">
        <x:v>32</x:v>
      </x:c>
      <x:c r="C21" s="262" t="n">
        <x:v>10</x:v>
      </x:c>
      <x:c r="D21" s="238" t="n">
        <x:f>INDEX('Copper_LSZH_Cables'!$B$2:$B$13,MATCH(C21,'Copper_LSZH_Cables'!$A$2:$A$13,0))</x:f>
        <x:v>1.83</x:v>
      </x:c>
      <x:c r="E21" s="238" t="n">
        <x:f>D21*(1+'Cable Selector'!$B$13*('Cable Selector'!$B$12-20))</x:f>
        <x:v>2.1895949999999997</x:v>
      </x:c>
      <x:c r="F21" s="238" t="n">
        <x:f>3*1000/(2*B21*D21)</x:f>
        <x:v>25.614754098360656</x:v>
      </x:c>
      <x:c r="G21" s="238" t="n">
        <x:f>3*1000/(2*B21*E21)</x:f>
        <x:v>21.408068615428885</x:v>
      </x:c>
      <x:c r="H21" s="238" t="n">
        <x:f>INDEX('Copper_LSZH_Cables'!$C$2:$C$13,MATCH(C21,'Copper_LSZH_Cables'!$A$2:$A$13,0))*INDEX('Temperature_Factors'!$B$2:$B$10,MATCH('Cable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21" s="263" t="str">
        <x:f>IF(H21&gt;=MAX(A21,B21),"PASS","FAIL")</x:f>
        <x:v>PASS</x:v>
      </x:c>
      <x:c r="J21" s="264" t="n">
        <x:v>13</x:v>
      </x:c>
    </x:row>
    <x:row r="22" ht="15" hidden="0" customHeight="1">
      <x:c r="A22" s="261" t="n">
        <x:v>40</x:v>
      </x:c>
      <x:c r="B22" s="262" t="n">
        <x:v>32</x:v>
      </x:c>
      <x:c r="C22" s="262" t="n">
        <x:v>16</x:v>
      </x:c>
      <x:c r="D22" s="238" t="n">
        <x:f>INDEX('Copper_LSZH_Cables'!$B$2:$B$13,MATCH(C22,'Copper_LSZH_Cables'!$A$2:$A$13,0))</x:f>
        <x:v>1.15</x:v>
      </x:c>
      <x:c r="E22" s="238" t="n">
        <x:f>D22*(1+'Cable Selector'!$B$13*('Cable Selector'!$B$12-20))</x:f>
        <x:v>1.3759749999999997</x:v>
      </x:c>
      <x:c r="F22" s="238" t="n">
        <x:f>3*1000/(2*B22*D22)</x:f>
        <x:v>40.7608695652174</x:v>
      </x:c>
      <x:c r="G22" s="238" t="n">
        <x:f>3*1000/(2*B22*E22)</x:f>
        <x:v>34.06675266629118</x:v>
      </x:c>
      <x:c r="H22" s="238" t="n">
        <x:f>INDEX('Copper_LSZH_Cables'!$C$2:$C$13,MATCH(C22,'Copper_LSZH_Cables'!$A$2:$A$13,0))*INDEX('Temperature_Factors'!$B$2:$B$10,MATCH('Cable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22" s="263" t="str">
        <x:f>IF(H22&gt;=MAX(A22,B22),"PASS","FAIL")</x:f>
        <x:v>PASS</x:v>
      </x:c>
      <x:c r="J22" s="264" t="n">
        <x:v>21</x:v>
      </x:c>
    </x:row>
    <x:row r="23" ht="15" hidden="0" customHeight="1">
      <x:c r="A23" s="261" t="n">
        <x:v>40</x:v>
      </x:c>
      <x:c r="B23" s="262" t="n">
        <x:v>32</x:v>
      </x:c>
      <x:c r="C23" s="262" t="n">
        <x:v>25</x:v>
      </x:c>
      <x:c r="D23" s="238" t="n">
        <x:f>INDEX('Copper_LSZH_Cables'!$B$2:$B$13,MATCH(C23,'Copper_LSZH_Cables'!$A$2:$A$13,0))</x:f>
        <x:v>0.727</x:v>
      </x:c>
      <x:c r="E23" s="238" t="n">
        <x:f>D23*(1+'Cable Selector'!$B$13*('Cable Selector'!$B$12-20))</x:f>
        <x:v>0.8698554999999999</x:v>
      </x:c>
      <x:c r="F23" s="238" t="n">
        <x:f>3*1000/(2*B23*D23)</x:f>
        <x:v>64.47730398899587</x:v>
      </x:c>
      <x:c r="G23" s="238" t="n">
        <x:f>3*1000/(2*B23*E23)</x:f>
        <x:v>53.888260751354686</x:v>
      </x:c>
      <x:c r="H23" s="238" t="n">
        <x:f>INDEX('Copper_LSZH_Cables'!$C$2:$C$13,MATCH(C23,'Copper_LSZH_Cables'!$A$2:$A$13,0))*INDEX('Temperature_Factors'!$B$2:$B$10,MATCH('Cable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23" s="263" t="str">
        <x:f>IF(H23&gt;=MAX(A23,B23),"PASS","FAIL")</x:f>
        <x:v>PASS</x:v>
      </x:c>
      <x:c r="J23" s="264" t="n">
        <x:v>33</x:v>
      </x:c>
    </x:row>
    <x:row r="24" ht="15" hidden="0" customHeight="1">
      <x:c r="A24" s="261" t="n">
        <x:v>40</x:v>
      </x:c>
      <x:c r="B24" s="262" t="n">
        <x:v>32</x:v>
      </x:c>
      <x:c r="C24" s="262" t="n">
        <x:v>35</x:v>
      </x:c>
      <x:c r="D24" s="238" t="n">
        <x:f>INDEX('Copper_LSZH_Cables'!$B$2:$B$13,MATCH(C24,'Copper_LSZH_Cables'!$A$2:$A$13,0))</x:f>
        <x:v>0.524</x:v>
      </x:c>
      <x:c r="E24" s="238" t="n">
        <x:f>D24*(1+'Cable Selector'!$B$13*('Cable Selector'!$B$12-20))</x:f>
        <x:v>0.626966</x:v>
      </x:c>
      <x:c r="F24" s="238" t="n">
        <x:f>3*1000/(2*B24*D24)</x:f>
        <x:v>89.45610687022901</x:v>
      </x:c>
      <x:c r="G24" s="238" t="n">
        <x:f>3*1000/(2*B24*E24)</x:f>
        <x:v>74.76481978289094</x:v>
      </x:c>
      <x:c r="H24" s="238" t="n">
        <x:f>INDEX('Copper_LSZH_Cables'!$C$2:$C$13,MATCH(C24,'Copper_LSZH_Cables'!$A$2:$A$13,0))*INDEX('Temperature_Factors'!$B$2:$B$10,MATCH('Cable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24" s="263" t="str">
        <x:f>IF(H24&gt;=MAX(A24,B24),"PASS","FAIL")</x:f>
        <x:v>PASS</x:v>
      </x:c>
      <x:c r="J24" s="264" t="n">
        <x:v>47</x:v>
      </x:c>
    </x:row>
    <x:row r="25" ht="15" hidden="0" customHeight="1">
      <x:c r="A25" s="261" t="n">
        <x:v>40</x:v>
      </x:c>
      <x:c r="B25" s="262" t="n">
        <x:v>32</x:v>
      </x:c>
      <x:c r="C25" s="262" t="n">
        <x:v>50</x:v>
      </x:c>
      <x:c r="D25" s="238" t="n">
        <x:f>INDEX('Copper_LSZH_Cables'!$B$2:$B$13,MATCH(C25,'Copper_LSZH_Cables'!$A$2:$A$13,0))</x:f>
        <x:v>0.387</x:v>
      </x:c>
      <x:c r="E25" s="238" t="n">
        <x:f>D25*(1+'Cable Selector'!$B$13*('Cable Selector'!$B$12-20))</x:f>
        <x:v>0.4630455</x:v>
      </x:c>
      <x:c r="F25" s="238" t="n">
        <x:f>3*1000/(2*B25*D25)</x:f>
        <x:v>121.12403100775194</x:v>
      </x:c>
      <x:c r="G25" s="238" t="n">
        <x:f>3*1000/(2*B25*E25)</x:f>
        <x:v>101.23195236753192</x:v>
      </x:c>
      <x:c r="H25" s="238" t="n">
        <x:f>INDEX('Copper_LSZH_Cables'!$C$2:$C$13,MATCH(C25,'Copper_LSZH_Cables'!$A$2:$A$13,0))*INDEX('Temperature_Factors'!$B$2:$B$10,MATCH('Cable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25" s="263" t="str">
        <x:f>IF(H25&gt;=MAX(A25,B25),"PASS","FAIL")</x:f>
        <x:v>PASS</x:v>
      </x:c>
      <x:c r="J25" s="264" t="n">
        <x:v>67</x:v>
      </x:c>
    </x:row>
    <x:row r="26" ht="15" hidden="0" customHeight="1">
      <x:c r="A26" s="261" t="n">
        <x:v>40</x:v>
      </x:c>
      <x:c r="B26" s="262" t="n">
        <x:v>32</x:v>
      </x:c>
      <x:c r="C26" s="262" t="n">
        <x:v>70</x:v>
      </x:c>
      <x:c r="D26" s="238" t="n">
        <x:f>INDEX('Copper_LSZH_Cables'!$B$2:$B$13,MATCH(C26,'Copper_LSZH_Cables'!$A$2:$A$13,0))</x:f>
        <x:v>0.268</x:v>
      </x:c>
      <x:c r="E26" s="238" t="n">
        <x:f>D26*(1+'Cable Selector'!$B$13*('Cable Selector'!$B$12-20))</x:f>
        <x:v>0.320662</x:v>
      </x:c>
      <x:c r="F26" s="238" t="n">
        <x:f>3*1000/(2*B26*D26)</x:f>
        <x:v>174.90671641791045</x:v>
      </x:c>
      <x:c r="G26" s="238" t="n">
        <x:f>3*1000/(2*B26*E26)</x:f>
        <x:v>146.1819610680405</x:v>
      </x:c>
      <x:c r="H26" s="238" t="n">
        <x:f>INDEX('Copper_LSZH_Cables'!$C$2:$C$13,MATCH(C26,'Copper_LSZH_Cables'!$A$2:$A$13,0))*INDEX('Temperature_Factors'!$B$2:$B$10,MATCH('Cable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26" s="263" t="str">
        <x:f>IF(H26&gt;=MAX(A26,B26),"PASS","FAIL")</x:f>
        <x:v>PASS</x:v>
      </x:c>
      <x:c r="J26" s="264" t="n">
        <x:v>94</x:v>
      </x:c>
    </x:row>
    <x:row r="27" ht="15" hidden="0" customHeight="1">
      <x:c r="A27" s="261" t="n">
        <x:v>63</x:v>
      </x:c>
      <x:c r="B27" s="262" t="n">
        <x:v>50</x:v>
      </x:c>
      <x:c r="C27" s="262" t="n">
        <x:v>10</x:v>
      </x:c>
      <x:c r="D27" s="238" t="n">
        <x:f>INDEX('Copper_LSZH_Cables'!$B$2:$B$13,MATCH(C27,'Copper_LSZH_Cables'!$A$2:$A$13,0))</x:f>
        <x:v>1.83</x:v>
      </x:c>
      <x:c r="E27" s="238" t="n">
        <x:f>D27*(1+'Cable Selector'!$B$13*('Cable Selector'!$B$12-20))</x:f>
        <x:v>2.1895949999999997</x:v>
      </x:c>
      <x:c r="F27" s="238" t="n">
        <x:f>3*1000/(2*B27*D27)</x:f>
        <x:v>16.39344262295082</x:v>
      </x:c>
      <x:c r="G27" s="238" t="n">
        <x:f>3*1000/(2*B27*E27)</x:f>
        <x:v>13.701163913874487</x:v>
      </x:c>
      <x:c r="H27" s="238" t="n">
        <x:f>INDEX('Copper_LSZH_Cables'!$C$2:$C$13,MATCH(C27,'Copper_LSZH_Cables'!$A$2:$A$13,0))*INDEX('Temperature_Factors'!$B$2:$B$10,MATCH('Cable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27" s="263" t="str">
        <x:f>IF(H27&gt;=MAX(A27,B27),"PASS","FAIL")</x:f>
        <x:v>PASS</x:v>
      </x:c>
      <x:c r="J27" s="264" t="n">
        <x:v>8</x:v>
      </x:c>
    </x:row>
    <x:row r="28" ht="15" hidden="0" customHeight="1">
      <x:c r="A28" s="261" t="n">
        <x:v>63</x:v>
      </x:c>
      <x:c r="B28" s="262" t="n">
        <x:v>50</x:v>
      </x:c>
      <x:c r="C28" s="262" t="n">
        <x:v>16</x:v>
      </x:c>
      <x:c r="D28" s="238" t="n">
        <x:f>INDEX('Copper_LSZH_Cables'!$B$2:$B$13,MATCH(C28,'Copper_LSZH_Cables'!$A$2:$A$13,0))</x:f>
        <x:v>1.15</x:v>
      </x:c>
      <x:c r="E28" s="238" t="n">
        <x:f>D28*(1+'Cable Selector'!$B$13*('Cable Selector'!$B$12-20))</x:f>
        <x:v>1.3759749999999997</x:v>
      </x:c>
      <x:c r="F28" s="238" t="n">
        <x:f>3*1000/(2*B28*D28)</x:f>
        <x:v>26.086956521739133</x:v>
      </x:c>
      <x:c r="G28" s="238" t="n">
        <x:f>3*1000/(2*B28*E28)</x:f>
        <x:v>21.802721706426357</x:v>
      </x:c>
      <x:c r="H28" s="238" t="n">
        <x:f>INDEX('Copper_LSZH_Cables'!$C$2:$C$13,MATCH(C28,'Copper_LSZH_Cables'!$A$2:$A$13,0))*INDEX('Temperature_Factors'!$B$2:$B$10,MATCH('Cable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28" s="263" t="str">
        <x:f>IF(H28&gt;=MAX(A28,B28),"PASS","FAIL")</x:f>
        <x:v>PASS</x:v>
      </x:c>
      <x:c r="J28" s="264" t="n">
        <x:v>14</x:v>
      </x:c>
    </x:row>
    <x:row r="29" ht="15" hidden="0" customHeight="1">
      <x:c r="A29" s="261" t="n">
        <x:v>63</x:v>
      </x:c>
      <x:c r="B29" s="262" t="n">
        <x:v>50</x:v>
      </x:c>
      <x:c r="C29" s="262" t="n">
        <x:v>25</x:v>
      </x:c>
      <x:c r="D29" s="238" t="n">
        <x:f>INDEX('Copper_LSZH_Cables'!$B$2:$B$13,MATCH(C29,'Copper_LSZH_Cables'!$A$2:$A$13,0))</x:f>
        <x:v>0.727</x:v>
      </x:c>
      <x:c r="E29" s="238" t="n">
        <x:f>D29*(1+'Cable Selector'!$B$13*('Cable Selector'!$B$12-20))</x:f>
        <x:v>0.8698554999999999</x:v>
      </x:c>
      <x:c r="F29" s="238" t="n">
        <x:f>3*1000/(2*B29*D29)</x:f>
        <x:v>41.26547455295736</x:v>
      </x:c>
      <x:c r="G29" s="238" t="n">
        <x:f>3*1000/(2*B29*E29)</x:f>
        <x:v>34.488486880867</x:v>
      </x:c>
      <x:c r="H29" s="238" t="n">
        <x:f>INDEX('Copper_LSZH_Cables'!$C$2:$C$13,MATCH(C29,'Copper_LSZH_Cables'!$A$2:$A$13,0))*INDEX('Temperature_Factors'!$B$2:$B$10,MATCH('Cable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29" s="263" t="str">
        <x:f>IF(H29&gt;=MAX(A29,B29),"PASS","FAIL")</x:f>
        <x:v>PASS</x:v>
      </x:c>
      <x:c r="J29" s="264" t="n">
        <x:v>21</x:v>
      </x:c>
    </x:row>
    <x:row r="30" ht="15" hidden="0" customHeight="1">
      <x:c r="A30" s="261" t="n">
        <x:v>63</x:v>
      </x:c>
      <x:c r="B30" s="262" t="n">
        <x:v>50</x:v>
      </x:c>
      <x:c r="C30" s="262" t="n">
        <x:v>35</x:v>
      </x:c>
      <x:c r="D30" s="238" t="n">
        <x:f>INDEX('Copper_LSZH_Cables'!$B$2:$B$13,MATCH(C30,'Copper_LSZH_Cables'!$A$2:$A$13,0))</x:f>
        <x:v>0.524</x:v>
      </x:c>
      <x:c r="E30" s="238" t="n">
        <x:f>D30*(1+'Cable Selector'!$B$13*('Cable Selector'!$B$12-20))</x:f>
        <x:v>0.626966</x:v>
      </x:c>
      <x:c r="F30" s="238" t="n">
        <x:f>3*1000/(2*B30*D30)</x:f>
        <x:v>57.25190839694656</x:v>
      </x:c>
      <x:c r="G30" s="238" t="n">
        <x:f>3*1000/(2*B30*E30)</x:f>
        <x:v>47.8494846610502</x:v>
      </x:c>
      <x:c r="H30" s="238" t="n">
        <x:f>INDEX('Copper_LSZH_Cables'!$C$2:$C$13,MATCH(C30,'Copper_LSZH_Cables'!$A$2:$A$13,0))*INDEX('Temperature_Factors'!$B$2:$B$10,MATCH('Cable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30" s="263" t="str">
        <x:f>IF(H30&gt;=MAX(A30,B30),"PASS","FAIL")</x:f>
        <x:v>PASS</x:v>
      </x:c>
      <x:c r="J30" s="264" t="n">
        <x:v>30</x:v>
      </x:c>
    </x:row>
    <x:row r="31" ht="15" hidden="0" customHeight="1">
      <x:c r="A31" s="261" t="n">
        <x:v>63</x:v>
      </x:c>
      <x:c r="B31" s="262" t="n">
        <x:v>50</x:v>
      </x:c>
      <x:c r="C31" s="262" t="n">
        <x:v>50</x:v>
      </x:c>
      <x:c r="D31" s="238" t="n">
        <x:f>INDEX('Copper_LSZH_Cables'!$B$2:$B$13,MATCH(C31,'Copper_LSZH_Cables'!$A$2:$A$13,0))</x:f>
        <x:v>0.387</x:v>
      </x:c>
      <x:c r="E31" s="238" t="n">
        <x:f>D31*(1+'Cable Selector'!$B$13*('Cable Selector'!$B$12-20))</x:f>
        <x:v>0.4630455</x:v>
      </x:c>
      <x:c r="F31" s="238" t="n">
        <x:f>3*1000/(2*B31*D31)</x:f>
        <x:v>77.51937984496124</x:v>
      </x:c>
      <x:c r="G31" s="238" t="n">
        <x:f>3*1000/(2*B31*E31)</x:f>
        <x:v>64.78844951522042</x:v>
      </x:c>
      <x:c r="H31" s="238" t="n">
        <x:f>INDEX('Copper_LSZH_Cables'!$C$2:$C$13,MATCH(C31,'Copper_LSZH_Cables'!$A$2:$A$13,0))*INDEX('Temperature_Factors'!$B$2:$B$10,MATCH('Cable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31" s="263" t="str">
        <x:f>IF(H31&gt;=MAX(A31,B31),"PASS","FAIL")</x:f>
        <x:v>PASS</x:v>
      </x:c>
      <x:c r="J31" s="264" t="n">
        <x:v>42</x:v>
      </x:c>
    </x:row>
    <x:row r="32" ht="15" hidden="0" customHeight="1">
      <x:c r="A32" s="261" t="n">
        <x:v>63</x:v>
      </x:c>
      <x:c r="B32" s="262" t="n">
        <x:v>50</x:v>
      </x:c>
      <x:c r="C32" s="262" t="n">
        <x:v>70</x:v>
      </x:c>
      <x:c r="D32" s="238" t="n">
        <x:f>INDEX('Copper_LSZH_Cables'!$B$2:$B$13,MATCH(C32,'Copper_LSZH_Cables'!$A$2:$A$13,0))</x:f>
        <x:v>0.268</x:v>
      </x:c>
      <x:c r="E32" s="238" t="n">
        <x:f>D32*(1+'Cable Selector'!$B$13*('Cable Selector'!$B$12-20))</x:f>
        <x:v>0.320662</x:v>
      </x:c>
      <x:c r="F32" s="238" t="n">
        <x:f>3*1000/(2*B32*D32)</x:f>
        <x:v>111.94029850746269</x:v>
      </x:c>
      <x:c r="G32" s="238" t="n">
        <x:f>3*1000/(2*B32*E32)</x:f>
        <x:v>93.55645508354591</x:v>
      </x:c>
      <x:c r="H32" s="238" t="n">
        <x:f>INDEX('Copper_LSZH_Cables'!$C$2:$C$13,MATCH(C32,'Copper_LSZH_Cables'!$A$2:$A$13,0))*INDEX('Temperature_Factors'!$B$2:$B$10,MATCH('Cable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32" s="263" t="str">
        <x:f>IF(H32&gt;=MAX(A32,B32),"PASS","FAIL")</x:f>
        <x:v>PASS</x:v>
      </x:c>
      <x:c r="J32" s="264" t="n">
        <x:v>59</x:v>
      </x:c>
    </x:row>
    <x:row r="33" ht="15" hidden="0" customHeight="1">
      <x:c r="A33" s="261" t="n">
        <x:v>80</x:v>
      </x:c>
      <x:c r="B33" s="262" t="n">
        <x:v>64</x:v>
      </x:c>
      <x:c r="C33" s="262" t="n">
        <x:v>10</x:v>
      </x:c>
      <x:c r="D33" s="238" t="n">
        <x:f>INDEX('Copper_LSZH_Cables'!$B$2:$B$13,MATCH(C33,'Copper_LSZH_Cables'!$A$2:$A$13,0))</x:f>
        <x:v>1.83</x:v>
      </x:c>
      <x:c r="E33" s="238" t="n">
        <x:f>D33*(1+'Cable Selector'!$B$13*('Cable Selector'!$B$12-20))</x:f>
        <x:v>2.1895949999999997</x:v>
      </x:c>
      <x:c r="F33" s="238" t="n">
        <x:f>3*1000/(2*B33*D33)</x:f>
        <x:v>12.807377049180328</x:v>
      </x:c>
      <x:c r="G33" s="238" t="n">
        <x:f>3*1000/(2*B33*E33)</x:f>
        <x:v>10.704034307714442</x:v>
      </x:c>
      <x:c r="H33" s="238" t="n">
        <x:f>INDEX('Copper_LSZH_Cables'!$C$2:$C$13,MATCH(C33,'Copper_LSZH_Cables'!$A$2:$A$13,0))*INDEX('Temperature_Factors'!$B$2:$B$10,MATCH('Cable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33" s="263" t="str">
        <x:f>IF(H33&gt;=MAX(A33,B33),"PASS","FAIL")</x:f>
        <x:v>FAIL</x:v>
      </x:c>
      <x:c r="J33" s="264" t="n">
        <x:v>7</x:v>
      </x:c>
    </x:row>
    <x:row r="34" ht="15" hidden="0" customHeight="1">
      <x:c r="A34" s="261" t="n">
        <x:v>80</x:v>
      </x:c>
      <x:c r="B34" s="262" t="n">
        <x:v>64</x:v>
      </x:c>
      <x:c r="C34" s="262" t="n">
        <x:v>16</x:v>
      </x:c>
      <x:c r="D34" s="238" t="n">
        <x:f>INDEX('Copper_LSZH_Cables'!$B$2:$B$13,MATCH(C34,'Copper_LSZH_Cables'!$A$2:$A$13,0))</x:f>
        <x:v>1.15</x:v>
      </x:c>
      <x:c r="E34" s="238" t="n">
        <x:f>D34*(1+'Cable Selector'!$B$13*('Cable Selector'!$B$12-20))</x:f>
        <x:v>1.3759749999999997</x:v>
      </x:c>
      <x:c r="F34" s="238" t="n">
        <x:f>3*1000/(2*B34*D34)</x:f>
        <x:v>20.3804347826087</x:v>
      </x:c>
      <x:c r="G34" s="238" t="n">
        <x:f>3*1000/(2*B34*E34)</x:f>
        <x:v>17.03337633314559</x:v>
      </x:c>
      <x:c r="H34" s="238" t="n">
        <x:f>INDEX('Copper_LSZH_Cables'!$C$2:$C$13,MATCH(C34,'Copper_LSZH_Cables'!$A$2:$A$13,0))*INDEX('Temperature_Factors'!$B$2:$B$10,MATCH('Cable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34" s="263" t="str">
        <x:f>IF(H34&gt;=MAX(A34,B34),"PASS","FAIL")</x:f>
        <x:v>PASS</x:v>
      </x:c>
      <x:c r="J34" s="264" t="n">
        <x:v>11</x:v>
      </x:c>
    </x:row>
    <x:row r="35" ht="15" hidden="0" customHeight="1">
      <x:c r="A35" s="261" t="n">
        <x:v>80</x:v>
      </x:c>
      <x:c r="B35" s="262" t="n">
        <x:v>64</x:v>
      </x:c>
      <x:c r="C35" s="262" t="n">
        <x:v>25</x:v>
      </x:c>
      <x:c r="D35" s="238" t="n">
        <x:f>INDEX('Copper_LSZH_Cables'!$B$2:$B$13,MATCH(C35,'Copper_LSZH_Cables'!$A$2:$A$13,0))</x:f>
        <x:v>0.727</x:v>
      </x:c>
      <x:c r="E35" s="238" t="n">
        <x:f>D35*(1+'Cable Selector'!$B$13*('Cable Selector'!$B$12-20))</x:f>
        <x:v>0.8698554999999999</x:v>
      </x:c>
      <x:c r="F35" s="238" t="n">
        <x:f>3*1000/(2*B35*D35)</x:f>
        <x:v>32.238651994497936</x:v>
      </x:c>
      <x:c r="G35" s="238" t="n">
        <x:f>3*1000/(2*B35*E35)</x:f>
        <x:v>26.944130375677343</x:v>
      </x:c>
      <x:c r="H35" s="238" t="n">
        <x:f>INDEX('Copper_LSZH_Cables'!$C$2:$C$13,MATCH(C35,'Copper_LSZH_Cables'!$A$2:$A$13,0))*INDEX('Temperature_Factors'!$B$2:$B$10,MATCH('Cable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35" s="263" t="str">
        <x:f>IF(H35&gt;=MAX(A35,B35),"PASS","FAIL")</x:f>
        <x:v>PASS</x:v>
      </x:c>
      <x:c r="J35" s="264" t="n">
        <x:v>17</x:v>
      </x:c>
    </x:row>
    <x:row r="36" ht="15" hidden="0" customHeight="1">
      <x:c r="A36" s="261" t="n">
        <x:v>80</x:v>
      </x:c>
      <x:c r="B36" s="262" t="n">
        <x:v>64</x:v>
      </x:c>
      <x:c r="C36" s="262" t="n">
        <x:v>35</x:v>
      </x:c>
      <x:c r="D36" s="238" t="n">
        <x:f>INDEX('Copper_LSZH_Cables'!$B$2:$B$13,MATCH(C36,'Copper_LSZH_Cables'!$A$2:$A$13,0))</x:f>
        <x:v>0.524</x:v>
      </x:c>
      <x:c r="E36" s="238" t="n">
        <x:f>D36*(1+'Cable Selector'!$B$13*('Cable Selector'!$B$12-20))</x:f>
        <x:v>0.626966</x:v>
      </x:c>
      <x:c r="F36" s="238" t="n">
        <x:f>3*1000/(2*B36*D36)</x:f>
        <x:v>44.728053435114504</x:v>
      </x:c>
      <x:c r="G36" s="238" t="n">
        <x:f>3*1000/(2*B36*E36)</x:f>
        <x:v>37.38240989144547</x:v>
      </x:c>
      <x:c r="H36" s="238" t="n">
        <x:f>INDEX('Copper_LSZH_Cables'!$C$2:$C$13,MATCH(C36,'Copper_LSZH_Cables'!$A$2:$A$13,0))*INDEX('Temperature_Factors'!$B$2:$B$10,MATCH('Cable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36" s="263" t="str">
        <x:f>IF(H36&gt;=MAX(A36,B36),"PASS","FAIL")</x:f>
        <x:v>PASS</x:v>
      </x:c>
      <x:c r="J36" s="264" t="n">
        <x:v>23</x:v>
      </x:c>
    </x:row>
    <x:row r="37" ht="15" hidden="0" customHeight="1">
      <x:c r="A37" s="261" t="n">
        <x:v>80</x:v>
      </x:c>
      <x:c r="B37" s="262" t="n">
        <x:v>64</x:v>
      </x:c>
      <x:c r="C37" s="262" t="n">
        <x:v>50</x:v>
      </x:c>
      <x:c r="D37" s="238" t="n">
        <x:f>INDEX('Copper_LSZH_Cables'!$B$2:$B$13,MATCH(C37,'Copper_LSZH_Cables'!$A$2:$A$13,0))</x:f>
        <x:v>0.387</x:v>
      </x:c>
      <x:c r="E37" s="238" t="n">
        <x:f>D37*(1+'Cable Selector'!$B$13*('Cable Selector'!$B$12-20))</x:f>
        <x:v>0.4630455</x:v>
      </x:c>
      <x:c r="F37" s="238" t="n">
        <x:f>3*1000/(2*B37*D37)</x:f>
        <x:v>60.56201550387597</x:v>
      </x:c>
      <x:c r="G37" s="238" t="n">
        <x:f>3*1000/(2*B37*E37)</x:f>
        <x:v>50.61597618376596</x:v>
      </x:c>
      <x:c r="H37" s="238" t="n">
        <x:f>INDEX('Copper_LSZH_Cables'!$C$2:$C$13,MATCH(C37,'Copper_LSZH_Cables'!$A$2:$A$13,0))*INDEX('Temperature_Factors'!$B$2:$B$10,MATCH('Cable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37" s="263" t="str">
        <x:f>IF(H37&gt;=MAX(A37,B37),"PASS","FAIL")</x:f>
        <x:v>PASS</x:v>
      </x:c>
      <x:c r="J37" s="264" t="n">
        <x:v>33</x:v>
      </x:c>
    </x:row>
    <x:row r="38" ht="15" hidden="0" customHeight="1">
      <x:c r="A38" s="261" t="n">
        <x:v>80</x:v>
      </x:c>
      <x:c r="B38" s="262" t="n">
        <x:v>64</x:v>
      </x:c>
      <x:c r="C38" s="262" t="n">
        <x:v>70</x:v>
      </x:c>
      <x:c r="D38" s="238" t="n">
        <x:f>INDEX('Copper_LSZH_Cables'!$B$2:$B$13,MATCH(C38,'Copper_LSZH_Cables'!$A$2:$A$13,0))</x:f>
        <x:v>0.268</x:v>
      </x:c>
      <x:c r="E38" s="238" t="n">
        <x:f>D38*(1+'Cable Selector'!$B$13*('Cable Selector'!$B$12-20))</x:f>
        <x:v>0.320662</x:v>
      </x:c>
      <x:c r="F38" s="238" t="n">
        <x:f>3*1000/(2*B38*D38)</x:f>
        <x:v>87.45335820895522</x:v>
      </x:c>
      <x:c r="G38" s="238" t="n">
        <x:f>3*1000/(2*B38*E38)</x:f>
        <x:v>73.09098053402025</x:v>
      </x:c>
      <x:c r="H38" s="238" t="n">
        <x:f>INDEX('Copper_LSZH_Cables'!$C$2:$C$13,MATCH(C38,'Copper_LSZH_Cables'!$A$2:$A$13,0))*INDEX('Temperature_Factors'!$B$2:$B$10,MATCH('Cable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38" s="263" t="str">
        <x:f>IF(H38&gt;=MAX(A38,B38),"PASS","FAIL")</x:f>
        <x:v>PASS</x:v>
      </x:c>
      <x:c r="J38" s="264" t="n">
        <x:v>47</x:v>
      </x:c>
    </x:row>
    <x:row r="39" ht="15" hidden="0" customHeight="1">
      <x:c r="A39" s="261" t="n">
        <x:v>100</x:v>
      </x:c>
      <x:c r="B39" s="262" t="n">
        <x:v>80</x:v>
      </x:c>
      <x:c r="C39" s="262" t="n">
        <x:v>10</x:v>
      </x:c>
      <x:c r="D39" s="238" t="n">
        <x:f>INDEX('Copper_LSZH_Cables'!$B$2:$B$13,MATCH(C39,'Copper_LSZH_Cables'!$A$2:$A$13,0))</x:f>
        <x:v>1.83</x:v>
      </x:c>
      <x:c r="E39" s="238" t="n">
        <x:f>D39*(1+'Cable Selector'!$B$13*('Cable Selector'!$B$12-20))</x:f>
        <x:v>2.1895949999999997</x:v>
      </x:c>
      <x:c r="F39" s="238" t="n">
        <x:f>3*1000/(2*B39*D39)</x:f>
        <x:v>10.245901639344261</x:v>
      </x:c>
      <x:c r="G39" s="238" t="n">
        <x:f>3*1000/(2*B39*E39)</x:f>
        <x:v>8.563227446171553</x:v>
      </x:c>
      <x:c r="H39" s="238" t="n">
        <x:f>INDEX('Copper_LSZH_Cables'!$C$2:$C$13,MATCH(C39,'Copper_LSZH_Cables'!$A$2:$A$13,0))*INDEX('Temperature_Factors'!$B$2:$B$10,MATCH('Cable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65</x:v>
      </x:c>
      <x:c r="I39" s="263" t="str">
        <x:f>IF(H39&gt;=MAX(A39,B39),"PASS","FAIL")</x:f>
        <x:v>FAIL</x:v>
      </x:c>
      <x:c r="J39" s="264" t="n">
        <x:v>5</x:v>
      </x:c>
    </x:row>
    <x:row r="40" ht="15" hidden="0" customHeight="1">
      <x:c r="A40" s="261" t="n">
        <x:v>100</x:v>
      </x:c>
      <x:c r="B40" s="262" t="n">
        <x:v>80</x:v>
      </x:c>
      <x:c r="C40" s="262" t="n">
        <x:v>16</x:v>
      </x:c>
      <x:c r="D40" s="238" t="n">
        <x:f>INDEX('Copper_LSZH_Cables'!$B$2:$B$13,MATCH(C40,'Copper_LSZH_Cables'!$A$2:$A$13,0))</x:f>
        <x:v>1.15</x:v>
      </x:c>
      <x:c r="E40" s="238" t="n">
        <x:f>D40*(1+'Cable Selector'!$B$13*('Cable Selector'!$B$12-20))</x:f>
        <x:v>1.3759749999999997</x:v>
      </x:c>
      <x:c r="F40" s="238" t="n">
        <x:f>3*1000/(2*B40*D40)</x:f>
        <x:v>16.304347826086957</x:v>
      </x:c>
      <x:c r="G40" s="238" t="n">
        <x:f>3*1000/(2*B40*E40)</x:f>
        <x:v>13.626701066516473</x:v>
      </x:c>
      <x:c r="H40" s="238" t="n">
        <x:f>INDEX('Copper_LSZH_Cables'!$C$2:$C$13,MATCH(C40,'Copper_LSZH_Cables'!$A$2:$A$13,0))*INDEX('Temperature_Factors'!$B$2:$B$10,MATCH('Cable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87</x:v>
      </x:c>
      <x:c r="I40" s="263" t="str">
        <x:f>IF(H40&gt;=MAX(A40,B40),"PASS","FAIL")</x:f>
        <x:v>FAIL</x:v>
      </x:c>
      <x:c r="J40" s="264" t="n">
        <x:v>9</x:v>
      </x:c>
    </x:row>
    <x:row r="41" ht="15" hidden="0" customHeight="1">
      <x:c r="A41" s="261" t="n">
        <x:v>100</x:v>
      </x:c>
      <x:c r="B41" s="262" t="n">
        <x:v>80</x:v>
      </x:c>
      <x:c r="C41" s="262" t="n">
        <x:v>25</x:v>
      </x:c>
      <x:c r="D41" s="238" t="n">
        <x:f>INDEX('Copper_LSZH_Cables'!$B$2:$B$13,MATCH(C41,'Copper_LSZH_Cables'!$A$2:$A$13,0))</x:f>
        <x:v>0.727</x:v>
      </x:c>
      <x:c r="E41" s="238" t="n">
        <x:f>D41*(1+'Cable Selector'!$B$13*('Cable Selector'!$B$12-20))</x:f>
        <x:v>0.8698554999999999</x:v>
      </x:c>
      <x:c r="F41" s="238" t="n">
        <x:f>3*1000/(2*B41*D41)</x:f>
        <x:v>25.790921595598352</x:v>
      </x:c>
      <x:c r="G41" s="238" t="n">
        <x:f>3*1000/(2*B41*E41)</x:f>
        <x:v>21.555304300541874</x:v>
      </x:c>
      <x:c r="H41" s="238" t="n">
        <x:f>INDEX('Copper_LSZH_Cables'!$C$2:$C$13,MATCH(C41,'Copper_LSZH_Cables'!$A$2:$A$13,0))*INDEX('Temperature_Factors'!$B$2:$B$10,MATCH('Cable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114</x:v>
      </x:c>
      <x:c r="I41" s="263" t="str">
        <x:f>IF(H41&gt;=MAX(A41,B41),"PASS","FAIL")</x:f>
        <x:v>PASS</x:v>
      </x:c>
      <x:c r="J41" s="264" t="n">
        <x:v>13</x:v>
      </x:c>
    </x:row>
    <x:row r="42" ht="15" hidden="0" customHeight="1">
      <x:c r="A42" s="261" t="n">
        <x:v>100</x:v>
      </x:c>
      <x:c r="B42" s="262" t="n">
        <x:v>80</x:v>
      </x:c>
      <x:c r="C42" s="262" t="n">
        <x:v>35</x:v>
      </x:c>
      <x:c r="D42" s="238" t="n">
        <x:f>INDEX('Copper_LSZH_Cables'!$B$2:$B$13,MATCH(C42,'Copper_LSZH_Cables'!$A$2:$A$13,0))</x:f>
        <x:v>0.524</x:v>
      </x:c>
      <x:c r="E42" s="238" t="n">
        <x:f>D42*(1+'Cable Selector'!$B$13*('Cable Selector'!$B$12-20))</x:f>
        <x:v>0.626966</x:v>
      </x:c>
      <x:c r="F42" s="238" t="n">
        <x:f>3*1000/(2*B42*D42)</x:f>
        <x:v>35.782442748091604</x:v>
      </x:c>
      <x:c r="G42" s="238" t="n">
        <x:f>3*1000/(2*B42*E42)</x:f>
        <x:v>29.905927913156376</x:v>
      </x:c>
      <x:c r="H42" s="238" t="n">
        <x:f>INDEX('Copper_LSZH_Cables'!$C$2:$C$13,MATCH(C42,'Copper_LSZH_Cables'!$A$2:$A$13,0))*INDEX('Temperature_Factors'!$B$2:$B$10,MATCH('Cable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141</x:v>
      </x:c>
      <x:c r="I42" s="263" t="str">
        <x:f>IF(H42&gt;=MAX(A42,B42),"PASS","FAIL")</x:f>
        <x:v>PASS</x:v>
      </x:c>
      <x:c r="J42" s="264" t="n">
        <x:v>19</x:v>
      </x:c>
    </x:row>
    <x:row r="43" ht="15" hidden="0" customHeight="1">
      <x:c r="A43" s="261" t="n">
        <x:v>100</x:v>
      </x:c>
      <x:c r="B43" s="262" t="n">
        <x:v>80</x:v>
      </x:c>
      <x:c r="C43" s="262" t="n">
        <x:v>50</x:v>
      </x:c>
      <x:c r="D43" s="238" t="n">
        <x:f>INDEX('Copper_LSZH_Cables'!$B$2:$B$13,MATCH(C43,'Copper_LSZH_Cables'!$A$2:$A$13,0))</x:f>
        <x:v>0.387</x:v>
      </x:c>
      <x:c r="E43" s="238" t="n">
        <x:f>D43*(1+'Cable Selector'!$B$13*('Cable Selector'!$B$12-20))</x:f>
        <x:v>0.4630455</x:v>
      </x:c>
      <x:c r="F43" s="238" t="n">
        <x:f>3*1000/(2*B43*D43)</x:f>
        <x:v>48.44961240310077</x:v>
      </x:c>
      <x:c r="G43" s="238" t="n">
        <x:f>3*1000/(2*B43*E43)</x:f>
        <x:v>40.49278094701277</x:v>
      </x:c>
      <x:c r="H43" s="238" t="n">
        <x:f>INDEX('Copper_LSZH_Cables'!$C$2:$C$13,MATCH(C43,'Copper_LSZH_Cables'!$A$2:$A$13,0))*INDEX('Temperature_Factors'!$B$2:$B$10,MATCH('Cable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176</x:v>
      </x:c>
      <x:c r="I43" s="263" t="str">
        <x:f>IF(H43&gt;=MAX(A43,B43),"PASS","FAIL")</x:f>
        <x:v>PASS</x:v>
      </x:c>
      <x:c r="J43" s="264" t="n">
        <x:v>27</x:v>
      </x:c>
    </x:row>
    <x:row r="44" ht="15" hidden="0" customHeight="1">
      <x:c r="A44" s="265" t="n">
        <x:v>100</x:v>
      </x:c>
      <x:c r="B44" s="266" t="n">
        <x:v>80</x:v>
      </x:c>
      <x:c r="C44" s="266" t="n">
        <x:v>70</x:v>
      </x:c>
      <x:c r="D44" s="242" t="n">
        <x:f>INDEX('Copper_LSZH_Cables'!$B$2:$B$13,MATCH(C44,'Copper_LSZH_Cables'!$A$2:$A$13,0))</x:f>
        <x:v>0.268</x:v>
      </x:c>
      <x:c r="E44" s="242" t="n">
        <x:f>D44*(1+'Cable Selector'!$B$13*('Cable Selector'!$B$12-20))</x:f>
        <x:v>0.320662</x:v>
      </x:c>
      <x:c r="F44" s="242" t="n">
        <x:f>3*1000/(2*B44*D44)</x:f>
        <x:v>69.96268656716417</x:v>
      </x:c>
      <x:c r="G44" s="242" t="n">
        <x:f>3*1000/(2*B44*E44)</x:f>
        <x:v>58.4727844272162</x:v>
      </x:c>
      <x:c r="H44" s="242" t="n">
        <x:f>INDEX('Copper_LSZH_Cables'!$C$2:$C$13,MATCH(C44,'Copper_LSZH_Cables'!$A$2:$A$13,0))*INDEX('Temperature_Factors'!$B$2:$B$10,MATCH('Cable Selector'!$B$9,'Temperature_Factors'!$A$2:$A$10,0))*INDEX('Grouping_Factors'!$B$2:$B$10,MATCH('Cable Selector'!$B$10,'Grouping_Factors'!$A$2:$A$10,0))*INDEX('Installation_Methods'!$B$2:$B$6,MATCH('Cable Selector'!$B$11,'Installation_Methods'!$A$2:$A$6,0))</x:f>
        <x:v>221</x:v>
      </x:c>
      <x:c r="I44" s="267" t="str">
        <x:f>IF(H44&gt;=MAX(A44,B44),"PASS","FAIL")</x:f>
        <x:v>PASS</x:v>
      </x:c>
      <x:c r="J44" s="268" t="n">
        <x:v>37</x:v>
      </x:c>
    </x:row>
  </x:sheetData>
  <x:mergeCells>
    <x:mergeCell ref="A1:J2"/>
    <x:mergeCell ref="A3:J3"/>
  </x:mergeCells>
  <x:conditionalFormatting sqref="I6:I44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1" hidden="0" customWidth="1"/>
    <x:col min="4" max="4" width="31" hidden="0" customWidth="1"/>
    <x:col min="5" max="5" width="45" hidden="0" customWidth="1"/>
    <x:col min="6" max="6" width="45" hidden="0" customWidth="1"/>
  </x:cols>
  <x:sheetData>
    <x:row r="1" ht="30" customHeight="1">
      <x:c r="A1" s="3" t="str">
        <x:v>Audit of Colleague Workbook and Source Table</x:v>
      </x:c>
      <x:c r="B1" s="3" t="str">
        <x:v>Audit of Colleague Workbook and Source Table</x:v>
      </x:c>
      <x:c r="C1" s="3" t="str">
        <x:v>Audit of Colleague Workbook and Source Table</x:v>
      </x:c>
      <x:c r="D1" s="3" t="str">
        <x:v>Audit of Colleague Workbook and Source Table</x:v>
      </x:c>
      <x:c r="E1" s="3" t="str">
        <x:v>Audit of Colleague Workbook and Source Table</x:v>
      </x:c>
      <x:c r="F1" s="3" t="str">
        <x:v>Audit of Colleague Workbook and Source Table</x:v>
      </x:c>
    </x:row>
    <x:row r="2" ht="30" customHeight="1">
      <x:c r="A2" s="3" t="str">
        <x:v>Audit of Colleague Workbook and Source Table</x:v>
      </x:c>
      <x:c r="B2" s="3" t="str">
        <x:v>Audit of Colleague Workbook and Source Table</x:v>
      </x:c>
      <x:c r="C2" s="3" t="str">
        <x:v>Audit of Colleague Workbook and Source Table</x:v>
      </x:c>
      <x:c r="D2" s="3" t="str">
        <x:v>Audit of Colleague Workbook and Source Table</x:v>
      </x:c>
      <x:c r="E2" s="3" t="str">
        <x:v>Audit of Colleague Workbook and Source Table</x:v>
      </x:c>
      <x:c r="F2" s="3" t="str">
        <x:v>Audit of Colleague Workbook and Source Table</x:v>
      </x:c>
    </x:row>
    <x:row r="3" ht="15" hidden="0" customHeight="1">
      <x:c r="A3" s="158"/>
      <x:c r="B3" s="158"/>
      <x:c r="C3" s="158"/>
      <x:c r="D3" s="158"/>
      <x:c r="E3" s="158"/>
      <x:c r="F3" s="158"/>
    </x:row>
    <x:row r="4" ht="15" hidden="0" customHeight="1">
      <x:c r="A4" s="12" t="str">
        <x:v>Area</x:v>
      </x:c>
      <x:c r="B4" s="12" t="str">
        <x:v>What exists</x:v>
      </x:c>
      <x:c r="C4" s="12" t="str">
        <x:v>Formula status</x:v>
      </x:c>
      <x:c r="D4" s="12" t="str">
        <x:v>Verification</x:v>
      </x:c>
      <x:c r="E4" s="12" t="str">
        <x:v>Risk / limitation</x:v>
      </x:c>
      <x:c r="F4" s="12" t="str">
        <x:v>Action taken</x:v>
      </x:c>
    </x:row>
    <x:row r="5" ht="15" hidden="0" customHeight="1">
      <x:c r="A5" s="279" t="str">
        <x:v>Breakers_IEC</x:v>
      </x:c>
      <x:c r="B5" s="280" t="str">
        <x:v>19 IDs and IEC-style ratings from 2 A to 400 A</x:v>
      </x:c>
      <x:c r="C5" s="280" t="str">
        <x:v>Static values only</x:v>
      </x:c>
      <x:c r="D5" s="280" t="str">
        <x:v>No source citation in original</x:v>
      </x:c>
      <x:c r="E5" s="280" t="str">
        <x:v>Photo uses 15/30 A while this sheet uses 16/32 A</x:v>
      </x:c>
      <x:c r="F5" s="281" t="str">
        <x:v>Preserved; selector accepts a user-entered protective rating</x:v>
      </x:c>
    </x:row>
    <x:row r="6" ht="26.399999618530273" hidden="0" customHeight="1">
      <x:c r="A6" s="282" t="str">
        <x:v>Copper_LSZH_Cables</x:v>
      </x:c>
      <x:c r="B6" s="283" t="str">
        <x:v>12 conductor sizes, R20, generic ampacity and descriptors</x:v>
      </x:c>
      <x:c r="C6" s="283" t="str">
        <x:v>Static values only</x:v>
      </x:c>
      <x:c r="D6" s="283" t="str">
        <x:v>R20 values align with IEC 60228 maximum-resistance references</x:v>
      </x:c>
      <x:c r="E6" s="283" t="str">
        <x:v>Ampacity depends strongly on actual cable and installation</x:v>
      </x:c>
      <x:c r="F6" s="284" t="str">
        <x:v>R20 used for voltage drop; ampacity marked unverified</x:v>
      </x:c>
    </x:row>
    <x:row r="7" ht="15" hidden="0" customHeight="1">
      <x:c r="A7" s="282" t="str">
        <x:v>Temperature_Factors</x:v>
      </x:c>
      <x:c r="B7" s="283" t="str">
        <x:v>Ambient temperature correction factors</x:v>
      </x:c>
      <x:c r="C7" s="283" t="str">
        <x:v>Static values only</x:v>
      </x:c>
      <x:c r="D7" s="283" t="str">
        <x:v>Not source-cited</x:v>
      </x:c>
      <x:c r="E7" s="283" t="str">
        <x:v>Must match insulation and installation standard</x:v>
      </x:c>
      <x:c r="F7" s="284" t="str">
        <x:v>Editable lookup retained; defaults to 30°C</x:v>
      </x:c>
    </x:row>
    <x:row r="8" ht="26.399999618530273" hidden="0" customHeight="1">
      <x:c r="A8" s="282" t="str">
        <x:v>Grouping_Factors</x:v>
      </x:c>
      <x:c r="B8" s="283" t="str">
        <x:v>Factors for 1–9 loaded circuits</x:v>
      </x:c>
      <x:c r="C8" s="283" t="str">
        <x:v>Static values only</x:v>
      </x:c>
      <x:c r="D8" s="283" t="str">
        <x:v>Not source-cited</x:v>
      </x:c>
      <x:c r="E8" s="283" t="str">
        <x:v>Photo mentions 8 black and 8 blue cables; actual grouping arrangement is unknown</x:v>
      </x:c>
      <x:c r="F8" s="284" t="str">
        <x:v>Editable input and explicit warning added</x:v>
      </x:c>
    </x:row>
    <x:row r="9" ht="15" hidden="0" customHeight="1">
      <x:c r="A9" s="282" t="str">
        <x:v>Installation_Methods</x:v>
      </x:c>
      <x:c r="B9" s="283" t="str">
        <x:v>Generic method factors</x:v>
      </x:c>
      <x:c r="C9" s="283" t="str">
        <x:v>Static values only</x:v>
      </x:c>
      <x:c r="D9" s="283" t="str">
        <x:v>Not source-cited</x:v>
      </x:c>
      <x:c r="E9" s="283" t="str">
        <x:v>These are simplifications, not a complete code method</x:v>
      </x:c>
      <x:c r="F9" s="284" t="str">
        <x:v>Editable selection retained; Cable Tray default</x:v>
      </x:c>
    </x:row>
    <x:row r="10" ht="26.399999618530273" hidden="0" customHeight="1">
      <x:c r="A10" s="282" t="str">
        <x:v>VoltageDrop_Reference</x:v>
      </x:c>
      <x:c r="B10" s="283" t="str">
        <x:v>Text descriptions of equations</x:v>
      </x:c>
      <x:c r="C10" s="283" t="str">
        <x:v>No executable formulas</x:v>
      </x:c>
      <x:c r="D10" s="283" t="str">
        <x:v>Equations are dimensionally valid for two-wire DC</x:v>
      </x:c>
      <x:c r="E10" s="283" t="str">
        <x:v>No temperature implementation or selection logic</x:v>
      </x:c>
      <x:c r="F10" s="284" t="str">
        <x:v>Implemented Equation 2 with temperature correction</x:v>
      </x:c>
    </x:row>
    <x:row r="11" ht="26.399999618530273" hidden="0" customHeight="1">
      <x:c r="A11" s="285" t="str">
        <x:v>Photographed 1.5 V table</x:v>
      </x:c>
      <x:c r="B11" s="286" t="str">
        <x:v>CB/load/cable/max-length combinations</x:v>
      </x:c>
      <x:c r="C11" s="286" t="str">
        <x:v>Appears derived from 2ρLI/A</x:v>
      </x:c>
      <x:c r="D11" s="286" t="str">
        <x:v>Values approximately match ρ = 0.01724 Ω·mm²/m with rounding</x:v>
      </x:c>
      <x:c r="E11" s="286" t="str">
        <x:v>Uses nominal resistivity rather than cable R20 and ignores ampacity</x:v>
      </x:c>
      <x:c r="F11" s="287" t="str">
        <x:v>Reconstructed as comparison column; not used as authority</x:v>
      </x:c>
    </x:row>
    <x:row r="12" ht="15" hidden="0" customHeight="1">
      <x:c r="A12" s="158"/>
      <x:c r="B12" s="158"/>
      <x:c r="C12" s="158"/>
      <x:c r="D12" s="158"/>
      <x:c r="E12" s="158"/>
      <x:c r="F12" s="158"/>
    </x:row>
    <x:row r="13" ht="15" hidden="0" customHeight="1">
      <x:c r="A13" s="288" t="str">
        <x:v>Conclusion: the uploaded workbook is useful raw reference data, but it was not a calculator and did not by itself generate or validate the photographed table.</x:v>
      </x:c>
      <x:c r="B13" s="288"/>
      <x:c r="C13" s="288"/>
      <x:c r="D13" s="288"/>
      <x:c r="E13" s="288"/>
      <x:c r="F13" s="288"/>
    </x:row>
  </x:sheetData>
  <x:mergeCells>
    <x:mergeCell ref="A1:F2"/>
    <x:mergeCell ref="A13:F13"/>
  </x:mergeCells>
  <x:pageMargins left="0.7" right="0.7" top="0.75" bottom="0.75" header="0.3" footer="0.3"/>
</x:worksheet>
</file>